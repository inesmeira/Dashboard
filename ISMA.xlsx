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aglass-my.sharepoint.com/personal/ines_meira_baglass_com/Documents/Ambiente de Trabalho/Dashboard/Dashboard/"/>
    </mc:Choice>
  </mc:AlternateContent>
  <xr:revisionPtr revIDLastSave="237" documentId="11_3BFE6A97F09A23E1E9FD32F27A01067E8AC80DF2" xr6:coauthVersionLast="47" xr6:coauthVersionMax="47" xr10:uidLastSave="{A9AA190D-B006-4D73-A7F2-BA4B188E54AD}"/>
  <bookViews>
    <workbookView xWindow="28680" yWindow="-120" windowWidth="29040" windowHeight="15720" tabRatio="445" firstSheet="3" activeTab="3" xr2:uid="{00000000-000D-0000-FFFF-FFFF00000000}"/>
  </bookViews>
  <sheets>
    <sheet name="Correlation" sheetId="2" r:id="rId1"/>
    <sheet name="Standardization" sheetId="3" r:id="rId2"/>
    <sheet name="SubIndices" sheetId="4" r:id="rId3"/>
    <sheet name="Data4" sheetId="1" r:id="rId4"/>
    <sheet name="ISMA_PCA" sheetId="5" r:id="rId5"/>
    <sheet name="PCA" sheetId="6" r:id="rId6"/>
    <sheet name="ISMA_FINAL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F32" i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2" i="7"/>
  <c r="E20" i="4"/>
  <c r="E16" i="4"/>
  <c r="E15" i="4"/>
  <c r="E8" i="4"/>
  <c r="AT29" i="3"/>
  <c r="AS29" i="3"/>
  <c r="AU29" i="3" s="1"/>
  <c r="E29" i="4" s="1"/>
  <c r="AO29" i="3"/>
  <c r="AP29" i="3" s="1"/>
  <c r="AN29" i="3"/>
  <c r="AM29" i="3"/>
  <c r="AH29" i="3"/>
  <c r="AI29" i="3" s="1"/>
  <c r="AJ29" i="3" s="1"/>
  <c r="F29" i="4" s="1"/>
  <c r="AG29" i="3"/>
  <c r="AD29" i="3"/>
  <c r="AC29" i="3"/>
  <c r="AB29" i="3"/>
  <c r="V29" i="3"/>
  <c r="P29" i="3"/>
  <c r="K29" i="3"/>
  <c r="F29" i="3"/>
  <c r="A29" i="3"/>
  <c r="AT28" i="3"/>
  <c r="AS28" i="3"/>
  <c r="AO28" i="3"/>
  <c r="AP28" i="3" s="1"/>
  <c r="AN28" i="3"/>
  <c r="AM28" i="3"/>
  <c r="AH28" i="3"/>
  <c r="AG28" i="3"/>
  <c r="AI28" i="3" s="1"/>
  <c r="AJ28" i="3" s="1"/>
  <c r="AC28" i="3"/>
  <c r="AB28" i="3"/>
  <c r="AD28" i="3" s="1"/>
  <c r="F28" i="4" s="1"/>
  <c r="V28" i="3"/>
  <c r="P28" i="3"/>
  <c r="K28" i="3"/>
  <c r="F28" i="3"/>
  <c r="A28" i="3"/>
  <c r="AT27" i="3"/>
  <c r="AS27" i="3"/>
  <c r="AU27" i="3" s="1"/>
  <c r="E27" i="4" s="1"/>
  <c r="AN27" i="3"/>
  <c r="AM27" i="3"/>
  <c r="AO27" i="3" s="1"/>
  <c r="AP27" i="3" s="1"/>
  <c r="AH27" i="3"/>
  <c r="AG27" i="3"/>
  <c r="AI27" i="3" s="1"/>
  <c r="AJ27" i="3" s="1"/>
  <c r="AD27" i="3"/>
  <c r="F27" i="4" s="1"/>
  <c r="AC27" i="3"/>
  <c r="AB27" i="3"/>
  <c r="V27" i="3"/>
  <c r="P27" i="3"/>
  <c r="K27" i="3"/>
  <c r="F27" i="3"/>
  <c r="A27" i="3"/>
  <c r="AT26" i="3"/>
  <c r="AS26" i="3"/>
  <c r="AP26" i="3"/>
  <c r="AO26" i="3"/>
  <c r="AN26" i="3"/>
  <c r="AM26" i="3"/>
  <c r="AH26" i="3"/>
  <c r="AG26" i="3"/>
  <c r="AI26" i="3" s="1"/>
  <c r="AJ26" i="3" s="1"/>
  <c r="AC26" i="3"/>
  <c r="AB26" i="3"/>
  <c r="AD26" i="3" s="1"/>
  <c r="V26" i="3"/>
  <c r="P26" i="3"/>
  <c r="K26" i="3"/>
  <c r="L21" i="3" s="1"/>
  <c r="F26" i="3"/>
  <c r="A26" i="3"/>
  <c r="AT25" i="3"/>
  <c r="AS25" i="3"/>
  <c r="AU25" i="3" s="1"/>
  <c r="E25" i="4" s="1"/>
  <c r="AN25" i="3"/>
  <c r="AM25" i="3"/>
  <c r="AO25" i="3" s="1"/>
  <c r="AP25" i="3" s="1"/>
  <c r="AH25" i="3"/>
  <c r="AI25" i="3" s="1"/>
  <c r="AJ25" i="3" s="1"/>
  <c r="F25" i="4" s="1"/>
  <c r="AG25" i="3"/>
  <c r="AD25" i="3"/>
  <c r="AC25" i="3"/>
  <c r="AB25" i="3"/>
  <c r="V25" i="3"/>
  <c r="P25" i="3"/>
  <c r="K25" i="3"/>
  <c r="F25" i="3"/>
  <c r="A25" i="3"/>
  <c r="AT24" i="3"/>
  <c r="AS24" i="3"/>
  <c r="AU24" i="3" s="1"/>
  <c r="E24" i="4" s="1"/>
  <c r="AO24" i="3"/>
  <c r="AP24" i="3" s="1"/>
  <c r="AN24" i="3"/>
  <c r="AM24" i="3"/>
  <c r="AH24" i="3"/>
  <c r="AI24" i="3" s="1"/>
  <c r="AJ24" i="3" s="1"/>
  <c r="AG24" i="3"/>
  <c r="AC24" i="3"/>
  <c r="AB24" i="3"/>
  <c r="AD24" i="3" s="1"/>
  <c r="F24" i="4" s="1"/>
  <c r="V24" i="3"/>
  <c r="P24" i="3"/>
  <c r="K24" i="3"/>
  <c r="F24" i="3"/>
  <c r="A24" i="3"/>
  <c r="AT23" i="3"/>
  <c r="AS23" i="3"/>
  <c r="AU23" i="3" s="1"/>
  <c r="E23" i="4" s="1"/>
  <c r="AN23" i="3"/>
  <c r="AM23" i="3"/>
  <c r="AO23" i="3" s="1"/>
  <c r="AP23" i="3" s="1"/>
  <c r="AI23" i="3"/>
  <c r="AJ23" i="3" s="1"/>
  <c r="F23" i="4" s="1"/>
  <c r="AH23" i="3"/>
  <c r="AG23" i="3"/>
  <c r="AD23" i="3"/>
  <c r="AC23" i="3"/>
  <c r="AB23" i="3"/>
  <c r="V23" i="3"/>
  <c r="P23" i="3"/>
  <c r="K23" i="3"/>
  <c r="F23" i="3"/>
  <c r="A23" i="3"/>
  <c r="AT22" i="3"/>
  <c r="AS22" i="3"/>
  <c r="AO22" i="3"/>
  <c r="AP22" i="3" s="1"/>
  <c r="AN22" i="3"/>
  <c r="AM22" i="3"/>
  <c r="AH22" i="3"/>
  <c r="AG22" i="3"/>
  <c r="AI22" i="3" s="1"/>
  <c r="AJ22" i="3" s="1"/>
  <c r="AC22" i="3"/>
  <c r="AB22" i="3"/>
  <c r="AD22" i="3" s="1"/>
  <c r="F22" i="4" s="1"/>
  <c r="V22" i="3"/>
  <c r="P22" i="3"/>
  <c r="K22" i="3"/>
  <c r="F22" i="3"/>
  <c r="A22" i="3"/>
  <c r="AT21" i="3"/>
  <c r="AS21" i="3"/>
  <c r="AU21" i="3" s="1"/>
  <c r="E21" i="4" s="1"/>
  <c r="AN21" i="3"/>
  <c r="AM21" i="3"/>
  <c r="AO21" i="3" s="1"/>
  <c r="AP21" i="3" s="1"/>
  <c r="AH21" i="3"/>
  <c r="AG21" i="3"/>
  <c r="AI21" i="3" s="1"/>
  <c r="AJ21" i="3" s="1"/>
  <c r="AD21" i="3"/>
  <c r="F21" i="4" s="1"/>
  <c r="AC21" i="3"/>
  <c r="AB21" i="3"/>
  <c r="V21" i="3"/>
  <c r="P21" i="3"/>
  <c r="K21" i="3"/>
  <c r="F21" i="3"/>
  <c r="A21" i="3"/>
  <c r="AT20" i="3"/>
  <c r="AS20" i="3"/>
  <c r="AU20" i="3" s="1"/>
  <c r="AN20" i="3"/>
  <c r="AM20" i="3"/>
  <c r="AO20" i="3" s="1"/>
  <c r="AP20" i="3" s="1"/>
  <c r="AI20" i="3"/>
  <c r="AJ20" i="3" s="1"/>
  <c r="AH20" i="3"/>
  <c r="AG20" i="3"/>
  <c r="AC20" i="3"/>
  <c r="AB20" i="3"/>
  <c r="AD20" i="3" s="1"/>
  <c r="V20" i="3"/>
  <c r="P20" i="3"/>
  <c r="L20" i="3"/>
  <c r="K20" i="3"/>
  <c r="F20" i="3"/>
  <c r="A20" i="3"/>
  <c r="AT19" i="3"/>
  <c r="AS19" i="3"/>
  <c r="AU19" i="3" s="1"/>
  <c r="E19" i="4" s="1"/>
  <c r="AN19" i="3"/>
  <c r="AM19" i="3"/>
  <c r="AO19" i="3" s="1"/>
  <c r="AP19" i="3" s="1"/>
  <c r="AH19" i="3"/>
  <c r="AG19" i="3"/>
  <c r="AI19" i="3" s="1"/>
  <c r="AJ19" i="3" s="1"/>
  <c r="AD19" i="3"/>
  <c r="AC19" i="3"/>
  <c r="AB19" i="3"/>
  <c r="V19" i="3"/>
  <c r="P19" i="3"/>
  <c r="K19" i="3"/>
  <c r="F19" i="3"/>
  <c r="A19" i="3"/>
  <c r="AT18" i="3"/>
  <c r="AS18" i="3"/>
  <c r="AU18" i="3" s="1"/>
  <c r="E18" i="4" s="1"/>
  <c r="AN18" i="3"/>
  <c r="AM18" i="3"/>
  <c r="AO18" i="3" s="1"/>
  <c r="AP18" i="3" s="1"/>
  <c r="AH18" i="3"/>
  <c r="AG18" i="3"/>
  <c r="AI18" i="3" s="1"/>
  <c r="AJ18" i="3" s="1"/>
  <c r="AC18" i="3"/>
  <c r="AB18" i="3"/>
  <c r="AD18" i="3" s="1"/>
  <c r="V18" i="3"/>
  <c r="P18" i="3"/>
  <c r="K18" i="3"/>
  <c r="F18" i="3"/>
  <c r="A18" i="3"/>
  <c r="AT17" i="3"/>
  <c r="AS17" i="3"/>
  <c r="AU17" i="3" s="1"/>
  <c r="E17" i="4" s="1"/>
  <c r="AN17" i="3"/>
  <c r="AM17" i="3"/>
  <c r="AO17" i="3" s="1"/>
  <c r="AP17" i="3" s="1"/>
  <c r="AH17" i="3"/>
  <c r="AG17" i="3"/>
  <c r="AI17" i="3" s="1"/>
  <c r="AJ17" i="3" s="1"/>
  <c r="AC17" i="3"/>
  <c r="AB17" i="3"/>
  <c r="AD17" i="3" s="1"/>
  <c r="F17" i="4" s="1"/>
  <c r="V17" i="3"/>
  <c r="P17" i="3"/>
  <c r="K17" i="3"/>
  <c r="H17" i="3"/>
  <c r="G17" i="3"/>
  <c r="I17" i="3" s="1"/>
  <c r="F17" i="3"/>
  <c r="A17" i="3"/>
  <c r="AT16" i="3"/>
  <c r="AS16" i="3"/>
  <c r="AU16" i="3" s="1"/>
  <c r="AN16" i="3"/>
  <c r="AM16" i="3"/>
  <c r="AO16" i="3" s="1"/>
  <c r="AP16" i="3" s="1"/>
  <c r="AH16" i="3"/>
  <c r="AI16" i="3" s="1"/>
  <c r="AJ16" i="3" s="1"/>
  <c r="AG16" i="3"/>
  <c r="AC16" i="3"/>
  <c r="AB16" i="3"/>
  <c r="AD16" i="3" s="1"/>
  <c r="V16" i="3"/>
  <c r="P16" i="3"/>
  <c r="M16" i="3"/>
  <c r="L16" i="3"/>
  <c r="N16" i="3" s="1"/>
  <c r="K16" i="3"/>
  <c r="F16" i="3"/>
  <c r="A16" i="3"/>
  <c r="AT15" i="3"/>
  <c r="AS15" i="3"/>
  <c r="AU15" i="3" s="1"/>
  <c r="AN15" i="3"/>
  <c r="AM15" i="3"/>
  <c r="AO15" i="3" s="1"/>
  <c r="AP15" i="3" s="1"/>
  <c r="AH15" i="3"/>
  <c r="AG15" i="3"/>
  <c r="AI15" i="3" s="1"/>
  <c r="AJ15" i="3" s="1"/>
  <c r="F15" i="4" s="1"/>
  <c r="AD15" i="3"/>
  <c r="AC15" i="3"/>
  <c r="AB15" i="3"/>
  <c r="V15" i="3"/>
  <c r="P15" i="3"/>
  <c r="K15" i="3"/>
  <c r="F15" i="3"/>
  <c r="A15" i="3"/>
  <c r="AT14" i="3"/>
  <c r="AS14" i="3"/>
  <c r="AU14" i="3" s="1"/>
  <c r="E14" i="4" s="1"/>
  <c r="AN14" i="3"/>
  <c r="AM14" i="3"/>
  <c r="AO14" i="3" s="1"/>
  <c r="AP14" i="3" s="1"/>
  <c r="AH14" i="3"/>
  <c r="AG14" i="3"/>
  <c r="AI14" i="3" s="1"/>
  <c r="AJ14" i="3" s="1"/>
  <c r="AC14" i="3"/>
  <c r="AB14" i="3"/>
  <c r="AD14" i="3" s="1"/>
  <c r="V14" i="3"/>
  <c r="P14" i="3"/>
  <c r="K14" i="3"/>
  <c r="F14" i="3"/>
  <c r="A14" i="3"/>
  <c r="AT13" i="3"/>
  <c r="AS13" i="3"/>
  <c r="AU13" i="3" s="1"/>
  <c r="E13" i="4" s="1"/>
  <c r="AN13" i="3"/>
  <c r="AM13" i="3"/>
  <c r="AO13" i="3" s="1"/>
  <c r="AP13" i="3" s="1"/>
  <c r="AH13" i="3"/>
  <c r="AG13" i="3"/>
  <c r="AI13" i="3" s="1"/>
  <c r="AJ13" i="3" s="1"/>
  <c r="AC13" i="3"/>
  <c r="AB13" i="3"/>
  <c r="AD13" i="3" s="1"/>
  <c r="F13" i="4" s="1"/>
  <c r="V13" i="3"/>
  <c r="P13" i="3"/>
  <c r="L13" i="3"/>
  <c r="K13" i="3"/>
  <c r="H13" i="3"/>
  <c r="F13" i="3"/>
  <c r="A13" i="3"/>
  <c r="AT12" i="3"/>
  <c r="AS12" i="3"/>
  <c r="AU12" i="3" s="1"/>
  <c r="E12" i="4" s="1"/>
  <c r="AN12" i="3"/>
  <c r="AM12" i="3"/>
  <c r="AO12" i="3" s="1"/>
  <c r="AP12" i="3" s="1"/>
  <c r="AH12" i="3"/>
  <c r="AI12" i="3" s="1"/>
  <c r="AJ12" i="3" s="1"/>
  <c r="AG12" i="3"/>
  <c r="AC12" i="3"/>
  <c r="AB12" i="3"/>
  <c r="AD12" i="3" s="1"/>
  <c r="F12" i="4" s="1"/>
  <c r="V12" i="3"/>
  <c r="P12" i="3"/>
  <c r="K12" i="3"/>
  <c r="F12" i="3"/>
  <c r="A12" i="3"/>
  <c r="AT11" i="3"/>
  <c r="AS11" i="3"/>
  <c r="AU11" i="3" s="1"/>
  <c r="E11" i="4" s="1"/>
  <c r="AN11" i="3"/>
  <c r="AO11" i="3" s="1"/>
  <c r="AP11" i="3" s="1"/>
  <c r="AM11" i="3"/>
  <c r="AH11" i="3"/>
  <c r="AG11" i="3"/>
  <c r="AI11" i="3" s="1"/>
  <c r="AJ11" i="3" s="1"/>
  <c r="AD11" i="3"/>
  <c r="AC11" i="3"/>
  <c r="AB11" i="3"/>
  <c r="V11" i="3"/>
  <c r="P11" i="3"/>
  <c r="K11" i="3"/>
  <c r="F11" i="3"/>
  <c r="A11" i="3"/>
  <c r="AT10" i="3"/>
  <c r="AS10" i="3"/>
  <c r="AN10" i="3"/>
  <c r="AM10" i="3"/>
  <c r="AO10" i="3" s="1"/>
  <c r="AP10" i="3" s="1"/>
  <c r="AH10" i="3"/>
  <c r="AG10" i="3"/>
  <c r="AI10" i="3" s="1"/>
  <c r="AJ10" i="3" s="1"/>
  <c r="AC10" i="3"/>
  <c r="AB10" i="3"/>
  <c r="AD10" i="3" s="1"/>
  <c r="F10" i="4" s="1"/>
  <c r="V10" i="3"/>
  <c r="P10" i="3"/>
  <c r="K10" i="3"/>
  <c r="F10" i="3"/>
  <c r="A10" i="3"/>
  <c r="AT9" i="3"/>
  <c r="AS9" i="3"/>
  <c r="AU9" i="3" s="1"/>
  <c r="E9" i="4" s="1"/>
  <c r="AN9" i="3"/>
  <c r="AM9" i="3"/>
  <c r="AO9" i="3" s="1"/>
  <c r="AP9" i="3" s="1"/>
  <c r="AH9" i="3"/>
  <c r="AG9" i="3"/>
  <c r="AI9" i="3" s="1"/>
  <c r="AJ9" i="3" s="1"/>
  <c r="AC9" i="3"/>
  <c r="AB9" i="3"/>
  <c r="AD9" i="3" s="1"/>
  <c r="F9" i="4" s="1"/>
  <c r="V9" i="3"/>
  <c r="P9" i="3"/>
  <c r="K9" i="3"/>
  <c r="F9" i="3"/>
  <c r="A9" i="3"/>
  <c r="AT8" i="3"/>
  <c r="AS8" i="3"/>
  <c r="AU8" i="3" s="1"/>
  <c r="AN8" i="3"/>
  <c r="AM8" i="3"/>
  <c r="AO8" i="3" s="1"/>
  <c r="AP8" i="3" s="1"/>
  <c r="AI8" i="3"/>
  <c r="AJ8" i="3" s="1"/>
  <c r="AH8" i="3"/>
  <c r="AG8" i="3"/>
  <c r="AC8" i="3"/>
  <c r="AB8" i="3"/>
  <c r="AD8" i="3" s="1"/>
  <c r="V8" i="3"/>
  <c r="P8" i="3"/>
  <c r="M8" i="3"/>
  <c r="L8" i="3"/>
  <c r="N8" i="3" s="1"/>
  <c r="K8" i="3"/>
  <c r="F8" i="3"/>
  <c r="A8" i="3"/>
  <c r="AT7" i="3"/>
  <c r="AS7" i="3"/>
  <c r="AU7" i="3" s="1"/>
  <c r="E7" i="4" s="1"/>
  <c r="AN7" i="3"/>
  <c r="AM7" i="3"/>
  <c r="AO7" i="3" s="1"/>
  <c r="AP7" i="3" s="1"/>
  <c r="AH7" i="3"/>
  <c r="AG7" i="3"/>
  <c r="AI7" i="3" s="1"/>
  <c r="AJ7" i="3" s="1"/>
  <c r="AD7" i="3"/>
  <c r="F7" i="4" s="1"/>
  <c r="AC7" i="3"/>
  <c r="AB7" i="3"/>
  <c r="V7" i="3"/>
  <c r="P7" i="3"/>
  <c r="K7" i="3"/>
  <c r="F7" i="3"/>
  <c r="A7" i="3"/>
  <c r="AT6" i="3"/>
  <c r="AS6" i="3"/>
  <c r="AU6" i="3" s="1"/>
  <c r="E6" i="4" s="1"/>
  <c r="AN6" i="3"/>
  <c r="AM6" i="3"/>
  <c r="AO6" i="3" s="1"/>
  <c r="AP6" i="3" s="1"/>
  <c r="AH6" i="3"/>
  <c r="AG6" i="3"/>
  <c r="AI6" i="3" s="1"/>
  <c r="AJ6" i="3" s="1"/>
  <c r="AC6" i="3"/>
  <c r="AB6" i="3"/>
  <c r="AD6" i="3" s="1"/>
  <c r="V6" i="3"/>
  <c r="P6" i="3"/>
  <c r="K6" i="3"/>
  <c r="F6" i="3"/>
  <c r="H21" i="3" s="1"/>
  <c r="A6" i="3"/>
  <c r="C23" i="3" s="1"/>
  <c r="AT5" i="3"/>
  <c r="AS5" i="3"/>
  <c r="AU5" i="3" s="1"/>
  <c r="E5" i="4" s="1"/>
  <c r="AN5" i="3"/>
  <c r="AM5" i="3"/>
  <c r="AO5" i="3" s="1"/>
  <c r="AP5" i="3" s="1"/>
  <c r="AH5" i="3"/>
  <c r="AG5" i="3"/>
  <c r="AI5" i="3" s="1"/>
  <c r="AJ5" i="3" s="1"/>
  <c r="AC5" i="3"/>
  <c r="AB5" i="3"/>
  <c r="AD5" i="3" s="1"/>
  <c r="F5" i="4" s="1"/>
  <c r="V5" i="3"/>
  <c r="P5" i="3"/>
  <c r="L5" i="3"/>
  <c r="K5" i="3"/>
  <c r="H5" i="3"/>
  <c r="F5" i="3"/>
  <c r="A5" i="3"/>
  <c r="AT4" i="3"/>
  <c r="AS4" i="3"/>
  <c r="AU4" i="3" s="1"/>
  <c r="E4" i="4" s="1"/>
  <c r="AN4" i="3"/>
  <c r="AM4" i="3"/>
  <c r="AO4" i="3" s="1"/>
  <c r="AP4" i="3" s="1"/>
  <c r="AH4" i="3"/>
  <c r="AI4" i="3" s="1"/>
  <c r="AJ4" i="3" s="1"/>
  <c r="AG4" i="3"/>
  <c r="AC4" i="3"/>
  <c r="AB4" i="3"/>
  <c r="AD4" i="3" s="1"/>
  <c r="F4" i="4" s="1"/>
  <c r="V4" i="3"/>
  <c r="P4" i="3"/>
  <c r="K4" i="3"/>
  <c r="F4" i="3"/>
  <c r="A4" i="3"/>
  <c r="AT3" i="3"/>
  <c r="AS3" i="3"/>
  <c r="AU3" i="3" s="1"/>
  <c r="E3" i="4" s="1"/>
  <c r="AN3" i="3"/>
  <c r="AM3" i="3"/>
  <c r="AO3" i="3" s="1"/>
  <c r="AP3" i="3" s="1"/>
  <c r="AH3" i="3"/>
  <c r="AG3" i="3"/>
  <c r="AI3" i="3" s="1"/>
  <c r="AJ3" i="3" s="1"/>
  <c r="AD3" i="3"/>
  <c r="AC3" i="3"/>
  <c r="AB3" i="3"/>
  <c r="V3" i="3"/>
  <c r="P3" i="3"/>
  <c r="R19" i="3" s="1"/>
  <c r="K3" i="3"/>
  <c r="F3" i="3"/>
  <c r="A3" i="3"/>
  <c r="AT2" i="3"/>
  <c r="AS2" i="3"/>
  <c r="AN2" i="3"/>
  <c r="AM2" i="3"/>
  <c r="AO2" i="3" s="1"/>
  <c r="AP2" i="3" s="1"/>
  <c r="AH2" i="3"/>
  <c r="AG2" i="3"/>
  <c r="AI2" i="3" s="1"/>
  <c r="AJ2" i="3" s="1"/>
  <c r="AC2" i="3"/>
  <c r="AB2" i="3"/>
  <c r="AD2" i="3" s="1"/>
  <c r="F2" i="4" s="1"/>
  <c r="V2" i="3"/>
  <c r="W28" i="3" s="1"/>
  <c r="P2" i="3"/>
  <c r="K2" i="3"/>
  <c r="M24" i="3" s="1"/>
  <c r="F2" i="3"/>
  <c r="G22" i="3" s="1"/>
  <c r="A2" i="3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  <c r="G47" i="1"/>
  <c r="G46" i="1"/>
  <c r="G45" i="1"/>
  <c r="G44" i="1"/>
  <c r="G43" i="1"/>
  <c r="G42" i="1"/>
  <c r="G41" i="1"/>
  <c r="F41" i="1"/>
  <c r="G37" i="1"/>
  <c r="G40" i="1"/>
  <c r="G39" i="1"/>
  <c r="G38" i="1"/>
  <c r="G36" i="1"/>
  <c r="G35" i="1"/>
  <c r="G34" i="1"/>
  <c r="F47" i="1"/>
  <c r="F46" i="1"/>
  <c r="F45" i="1"/>
  <c r="F44" i="1"/>
  <c r="F43" i="1"/>
  <c r="F42" i="1"/>
  <c r="E47" i="1"/>
  <c r="E46" i="1"/>
  <c r="E45" i="1"/>
  <c r="E44" i="1"/>
  <c r="E43" i="1"/>
  <c r="E42" i="1"/>
  <c r="E41" i="1"/>
  <c r="D47" i="1"/>
  <c r="D46" i="1"/>
  <c r="D45" i="1"/>
  <c r="D44" i="1"/>
  <c r="D43" i="1"/>
  <c r="D42" i="1"/>
  <c r="D41" i="1"/>
  <c r="C47" i="1"/>
  <c r="C46" i="1"/>
  <c r="C45" i="1"/>
  <c r="C44" i="1"/>
  <c r="C43" i="1"/>
  <c r="C42" i="1"/>
  <c r="C41" i="1"/>
  <c r="F40" i="1"/>
  <c r="F39" i="1"/>
  <c r="F38" i="1"/>
  <c r="F37" i="1"/>
  <c r="F36" i="1"/>
  <c r="F35" i="1"/>
  <c r="F34" i="1"/>
  <c r="E40" i="1"/>
  <c r="E39" i="1"/>
  <c r="E38" i="1"/>
  <c r="E37" i="1"/>
  <c r="E36" i="1"/>
  <c r="E35" i="1"/>
  <c r="E34" i="1"/>
  <c r="D40" i="1"/>
  <c r="D39" i="1"/>
  <c r="D38" i="1"/>
  <c r="D37" i="1"/>
  <c r="D36" i="1"/>
  <c r="D35" i="1"/>
  <c r="D34" i="1"/>
  <c r="C40" i="1"/>
  <c r="C39" i="1"/>
  <c r="C38" i="1"/>
  <c r="C37" i="1"/>
  <c r="C36" i="1"/>
  <c r="C35" i="1"/>
  <c r="C34" i="1"/>
  <c r="C29" i="3" l="1"/>
  <c r="X27" i="3"/>
  <c r="W22" i="3"/>
  <c r="X17" i="3"/>
  <c r="X13" i="3"/>
  <c r="X9" i="3"/>
  <c r="X5" i="3"/>
  <c r="X26" i="3"/>
  <c r="Y26" i="3" s="1"/>
  <c r="W27" i="3"/>
  <c r="Y27" i="3" s="1"/>
  <c r="X21" i="3"/>
  <c r="W17" i="3"/>
  <c r="W13" i="3"/>
  <c r="W9" i="3"/>
  <c r="W5" i="3"/>
  <c r="W21" i="3"/>
  <c r="W26" i="3"/>
  <c r="X20" i="3"/>
  <c r="Y20" i="3" s="1"/>
  <c r="X16" i="3"/>
  <c r="X12" i="3"/>
  <c r="Y12" i="3" s="1"/>
  <c r="X8" i="3"/>
  <c r="X4" i="3"/>
  <c r="X29" i="3"/>
  <c r="X25" i="3"/>
  <c r="W20" i="3"/>
  <c r="W16" i="3"/>
  <c r="W12" i="3"/>
  <c r="W8" i="3"/>
  <c r="W4" i="3"/>
  <c r="W25" i="3"/>
  <c r="W3" i="3"/>
  <c r="Y3" i="3" s="1"/>
  <c r="W24" i="3"/>
  <c r="X19" i="3"/>
  <c r="X15" i="3"/>
  <c r="X11" i="3"/>
  <c r="X7" i="3"/>
  <c r="Y7" i="3" s="1"/>
  <c r="X3" i="3"/>
  <c r="X24" i="3"/>
  <c r="Y24" i="3" s="1"/>
  <c r="W19" i="3"/>
  <c r="W15" i="3"/>
  <c r="W11" i="3"/>
  <c r="Y11" i="3" s="1"/>
  <c r="W7" i="3"/>
  <c r="X18" i="3"/>
  <c r="W10" i="3"/>
  <c r="W18" i="3"/>
  <c r="X6" i="3"/>
  <c r="X14" i="3"/>
  <c r="Y14" i="3" s="1"/>
  <c r="W6" i="3"/>
  <c r="Y6" i="3" s="1"/>
  <c r="X23" i="3"/>
  <c r="W23" i="3"/>
  <c r="Y23" i="3" s="1"/>
  <c r="X10" i="3"/>
  <c r="Y10" i="3" s="1"/>
  <c r="X2" i="3"/>
  <c r="W14" i="3"/>
  <c r="X28" i="3"/>
  <c r="W29" i="3"/>
  <c r="Y29" i="3" s="1"/>
  <c r="B11" i="3"/>
  <c r="C11" i="3"/>
  <c r="R25" i="3"/>
  <c r="S15" i="3"/>
  <c r="T15" i="3" s="1"/>
  <c r="B7" i="3"/>
  <c r="D7" i="3" s="1"/>
  <c r="D7" i="4" s="1"/>
  <c r="D6" i="3"/>
  <c r="C2" i="3"/>
  <c r="C18" i="3"/>
  <c r="B15" i="3"/>
  <c r="C14" i="3"/>
  <c r="C6" i="3"/>
  <c r="C22" i="3"/>
  <c r="C7" i="3"/>
  <c r="F18" i="4"/>
  <c r="Y19" i="3"/>
  <c r="X22" i="3"/>
  <c r="W2" i="3"/>
  <c r="Y2" i="3" s="1"/>
  <c r="D10" i="3"/>
  <c r="D10" i="4" s="1"/>
  <c r="B29" i="3"/>
  <c r="D29" i="3" s="1"/>
  <c r="B3" i="3"/>
  <c r="C3" i="3"/>
  <c r="D3" i="3" s="1"/>
  <c r="R27" i="3"/>
  <c r="G9" i="3"/>
  <c r="H9" i="3"/>
  <c r="F20" i="4"/>
  <c r="F26" i="4"/>
  <c r="G27" i="3"/>
  <c r="F16" i="4"/>
  <c r="G6" i="3"/>
  <c r="B28" i="3"/>
  <c r="B26" i="3"/>
  <c r="B24" i="3"/>
  <c r="B22" i="3"/>
  <c r="D22" i="3" s="1"/>
  <c r="B20" i="3"/>
  <c r="D20" i="3" s="1"/>
  <c r="B18" i="3"/>
  <c r="D18" i="3" s="1"/>
  <c r="D18" i="4" s="1"/>
  <c r="B16" i="3"/>
  <c r="D16" i="3" s="1"/>
  <c r="D16" i="4" s="1"/>
  <c r="B14" i="3"/>
  <c r="D14" i="3" s="1"/>
  <c r="D14" i="4" s="1"/>
  <c r="B12" i="3"/>
  <c r="D12" i="3" s="1"/>
  <c r="D12" i="4" s="1"/>
  <c r="B10" i="3"/>
  <c r="B8" i="3"/>
  <c r="B6" i="3"/>
  <c r="B4" i="3"/>
  <c r="D4" i="3" s="1"/>
  <c r="B2" i="3"/>
  <c r="D2" i="3" s="1"/>
  <c r="D2" i="4" s="1"/>
  <c r="B21" i="3"/>
  <c r="D21" i="3" s="1"/>
  <c r="D21" i="4" s="1"/>
  <c r="C27" i="3"/>
  <c r="B27" i="3"/>
  <c r="C21" i="3"/>
  <c r="C17" i="3"/>
  <c r="D17" i="3" s="1"/>
  <c r="D17" i="4" s="1"/>
  <c r="C13" i="3"/>
  <c r="C9" i="3"/>
  <c r="C5" i="3"/>
  <c r="C26" i="3"/>
  <c r="B17" i="3"/>
  <c r="B13" i="3"/>
  <c r="B9" i="3"/>
  <c r="B5" i="3"/>
  <c r="C20" i="3"/>
  <c r="C16" i="3"/>
  <c r="C12" i="3"/>
  <c r="C8" i="3"/>
  <c r="C4" i="3"/>
  <c r="C25" i="3"/>
  <c r="C19" i="3"/>
  <c r="D19" i="3" s="1"/>
  <c r="D19" i="4" s="1"/>
  <c r="C15" i="3"/>
  <c r="B25" i="3"/>
  <c r="C24" i="3"/>
  <c r="L4" i="3"/>
  <c r="L12" i="3"/>
  <c r="B19" i="3"/>
  <c r="H27" i="3"/>
  <c r="N13" i="3"/>
  <c r="L27" i="3"/>
  <c r="N26" i="3"/>
  <c r="M21" i="3"/>
  <c r="N21" i="3" s="1"/>
  <c r="L17" i="3"/>
  <c r="N17" i="3" s="1"/>
  <c r="S13" i="3"/>
  <c r="T13" i="3" s="1"/>
  <c r="M20" i="3"/>
  <c r="N20" i="3" s="1"/>
  <c r="L26" i="3"/>
  <c r="M26" i="3"/>
  <c r="G21" i="3"/>
  <c r="I21" i="3" s="1"/>
  <c r="C21" i="4" s="1"/>
  <c r="D27" i="3"/>
  <c r="I4" i="3"/>
  <c r="I12" i="3"/>
  <c r="I27" i="3"/>
  <c r="L25" i="3"/>
  <c r="F8" i="4"/>
  <c r="M4" i="3"/>
  <c r="L9" i="3"/>
  <c r="C10" i="3"/>
  <c r="M12" i="3"/>
  <c r="R15" i="3"/>
  <c r="I22" i="3"/>
  <c r="S24" i="3"/>
  <c r="T24" i="3" s="1"/>
  <c r="D25" i="3"/>
  <c r="C28" i="3"/>
  <c r="AU2" i="3"/>
  <c r="E2" i="4" s="1"/>
  <c r="F3" i="4"/>
  <c r="AU10" i="3"/>
  <c r="E10" i="4" s="1"/>
  <c r="F11" i="4"/>
  <c r="F14" i="4"/>
  <c r="Y18" i="3"/>
  <c r="Y21" i="3"/>
  <c r="Q24" i="3"/>
  <c r="S27" i="3"/>
  <c r="T27" i="3" s="1"/>
  <c r="R11" i="3"/>
  <c r="S11" i="3" s="1"/>
  <c r="T11" i="3" s="1"/>
  <c r="D15" i="3"/>
  <c r="D15" i="4" s="1"/>
  <c r="Q8" i="3"/>
  <c r="S8" i="3" s="1"/>
  <c r="T8" i="3" s="1"/>
  <c r="F6" i="4"/>
  <c r="R7" i="3"/>
  <c r="S12" i="3"/>
  <c r="T12" i="3" s="1"/>
  <c r="I16" i="3"/>
  <c r="C16" i="4" s="1"/>
  <c r="I28" i="3"/>
  <c r="R3" i="3"/>
  <c r="H28" i="3"/>
  <c r="H26" i="3"/>
  <c r="H24" i="3"/>
  <c r="H22" i="3"/>
  <c r="H20" i="3"/>
  <c r="H18" i="3"/>
  <c r="H16" i="3"/>
  <c r="H14" i="3"/>
  <c r="H12" i="3"/>
  <c r="H10" i="3"/>
  <c r="I10" i="3" s="1"/>
  <c r="C10" i="4" s="1"/>
  <c r="H8" i="3"/>
  <c r="I8" i="3" s="1"/>
  <c r="C8" i="4" s="1"/>
  <c r="H6" i="3"/>
  <c r="I6" i="3" s="1"/>
  <c r="C6" i="4" s="1"/>
  <c r="H4" i="3"/>
  <c r="H2" i="3"/>
  <c r="G26" i="3"/>
  <c r="H25" i="3"/>
  <c r="G20" i="3"/>
  <c r="I20" i="3" s="1"/>
  <c r="G16" i="3"/>
  <c r="G12" i="3"/>
  <c r="G8" i="3"/>
  <c r="G4" i="3"/>
  <c r="G25" i="3"/>
  <c r="I25" i="3" s="1"/>
  <c r="G19" i="3"/>
  <c r="I19" i="3" s="1"/>
  <c r="G15" i="3"/>
  <c r="I15" i="3" s="1"/>
  <c r="C15" i="4" s="1"/>
  <c r="G7" i="3"/>
  <c r="I7" i="3" s="1"/>
  <c r="G24" i="3"/>
  <c r="I24" i="3" s="1"/>
  <c r="C24" i="4" s="1"/>
  <c r="H19" i="3"/>
  <c r="H15" i="3"/>
  <c r="H11" i="3"/>
  <c r="H7" i="3"/>
  <c r="H3" i="3"/>
  <c r="H29" i="3"/>
  <c r="G11" i="3"/>
  <c r="I11" i="3" s="1"/>
  <c r="G3" i="3"/>
  <c r="I3" i="3" s="1"/>
  <c r="G18" i="3"/>
  <c r="I18" i="3" s="1"/>
  <c r="G14" i="3"/>
  <c r="I14" i="3" s="1"/>
  <c r="C14" i="4" s="1"/>
  <c r="G29" i="3"/>
  <c r="H23" i="3"/>
  <c r="G23" i="3"/>
  <c r="I23" i="3" s="1"/>
  <c r="C23" i="4" s="1"/>
  <c r="I2" i="3"/>
  <c r="G28" i="3"/>
  <c r="G2" i="3"/>
  <c r="Q4" i="3"/>
  <c r="S4" i="3" s="1"/>
  <c r="T4" i="3" s="1"/>
  <c r="G5" i="3"/>
  <c r="I5" i="3" s="1"/>
  <c r="D8" i="3"/>
  <c r="G10" i="3"/>
  <c r="D11" i="3"/>
  <c r="Q12" i="3"/>
  <c r="G13" i="3"/>
  <c r="I13" i="3" s="1"/>
  <c r="Y15" i="3"/>
  <c r="B23" i="3"/>
  <c r="D23" i="3" s="1"/>
  <c r="M25" i="3"/>
  <c r="R4" i="3"/>
  <c r="M5" i="3"/>
  <c r="N5" i="3" s="1"/>
  <c r="R8" i="3"/>
  <c r="M9" i="3"/>
  <c r="R12" i="3"/>
  <c r="M13" i="3"/>
  <c r="R16" i="3"/>
  <c r="S16" i="3" s="1"/>
  <c r="T16" i="3" s="1"/>
  <c r="M17" i="3"/>
  <c r="R20" i="3"/>
  <c r="S20" i="3" s="1"/>
  <c r="T20" i="3" s="1"/>
  <c r="S26" i="3"/>
  <c r="T26" i="3" s="1"/>
  <c r="M27" i="3"/>
  <c r="I29" i="3"/>
  <c r="L22" i="3"/>
  <c r="Q26" i="3"/>
  <c r="Q16" i="3"/>
  <c r="Q20" i="3"/>
  <c r="L2" i="3"/>
  <c r="L6" i="3"/>
  <c r="N6" i="3" s="1"/>
  <c r="L10" i="3"/>
  <c r="N10" i="3" s="1"/>
  <c r="Y16" i="3"/>
  <c r="R21" i="3"/>
  <c r="M22" i="3"/>
  <c r="N22" i="3" s="1"/>
  <c r="M2" i="3"/>
  <c r="R5" i="3"/>
  <c r="S5" i="3" s="1"/>
  <c r="T5" i="3" s="1"/>
  <c r="M6" i="3"/>
  <c r="R9" i="3"/>
  <c r="M10" i="3"/>
  <c r="R13" i="3"/>
  <c r="M14" i="3"/>
  <c r="R17" i="3"/>
  <c r="M18" i="3"/>
  <c r="L23" i="3"/>
  <c r="N23" i="3" s="1"/>
  <c r="AU26" i="3"/>
  <c r="E26" i="4" s="1"/>
  <c r="M28" i="3"/>
  <c r="Y4" i="3"/>
  <c r="Y8" i="3"/>
  <c r="L14" i="3"/>
  <c r="N14" i="3" s="1"/>
  <c r="L18" i="3"/>
  <c r="L28" i="3"/>
  <c r="N28" i="3" s="1"/>
  <c r="M23" i="3"/>
  <c r="L29" i="3"/>
  <c r="N29" i="3" s="1"/>
  <c r="Q29" i="3"/>
  <c r="Q27" i="3"/>
  <c r="Q25" i="3"/>
  <c r="S25" i="3" s="1"/>
  <c r="T25" i="3" s="1"/>
  <c r="Q23" i="3"/>
  <c r="S23" i="3" s="1"/>
  <c r="T23" i="3" s="1"/>
  <c r="Q21" i="3"/>
  <c r="S21" i="3" s="1"/>
  <c r="T21" i="3" s="1"/>
  <c r="Q19" i="3"/>
  <c r="S19" i="3" s="1"/>
  <c r="T19" i="3" s="1"/>
  <c r="Q17" i="3"/>
  <c r="S17" i="3" s="1"/>
  <c r="T17" i="3" s="1"/>
  <c r="Q15" i="3"/>
  <c r="Q13" i="3"/>
  <c r="Q11" i="3"/>
  <c r="Q9" i="3"/>
  <c r="S9" i="3" s="1"/>
  <c r="T9" i="3" s="1"/>
  <c r="Q7" i="3"/>
  <c r="S7" i="3" s="1"/>
  <c r="T7" i="3" s="1"/>
  <c r="Q5" i="3"/>
  <c r="Q3" i="3"/>
  <c r="S3" i="3" s="1"/>
  <c r="T3" i="3" s="1"/>
  <c r="S2" i="3"/>
  <c r="T2" i="3" s="1"/>
  <c r="R26" i="3"/>
  <c r="R24" i="3"/>
  <c r="R22" i="3"/>
  <c r="S22" i="3" s="1"/>
  <c r="T22" i="3" s="1"/>
  <c r="R28" i="3"/>
  <c r="S6" i="3"/>
  <c r="T6" i="3" s="1"/>
  <c r="S18" i="3"/>
  <c r="T18" i="3" s="1"/>
  <c r="Q22" i="3"/>
  <c r="Q2" i="3"/>
  <c r="L3" i="3"/>
  <c r="N3" i="3" s="1"/>
  <c r="L7" i="3"/>
  <c r="Q10" i="3"/>
  <c r="Q14" i="3"/>
  <c r="L24" i="3"/>
  <c r="N24" i="3" s="1"/>
  <c r="S10" i="3"/>
  <c r="T10" i="3" s="1"/>
  <c r="Q6" i="3"/>
  <c r="L11" i="3"/>
  <c r="N11" i="3" s="1"/>
  <c r="L15" i="3"/>
  <c r="N15" i="3" s="1"/>
  <c r="Q18" i="3"/>
  <c r="L19" i="3"/>
  <c r="N19" i="3" s="1"/>
  <c r="Q28" i="3"/>
  <c r="S28" i="3" s="1"/>
  <c r="T28" i="3" s="1"/>
  <c r="R2" i="3"/>
  <c r="M3" i="3"/>
  <c r="R6" i="3"/>
  <c r="M7" i="3"/>
  <c r="R10" i="3"/>
  <c r="M11" i="3"/>
  <c r="R14" i="3"/>
  <c r="M15" i="3"/>
  <c r="R18" i="3"/>
  <c r="M19" i="3"/>
  <c r="Y22" i="3"/>
  <c r="AU22" i="3"/>
  <c r="E22" i="4" s="1"/>
  <c r="R23" i="3"/>
  <c r="S14" i="3"/>
  <c r="T14" i="3" s="1"/>
  <c r="F19" i="4"/>
  <c r="M29" i="3"/>
  <c r="Y28" i="3"/>
  <c r="AU28" i="3"/>
  <c r="E28" i="4" s="1"/>
  <c r="R29" i="3"/>
  <c r="D3" i="4" l="1"/>
  <c r="D4" i="4"/>
  <c r="D20" i="4"/>
  <c r="C20" i="4"/>
  <c r="D25" i="4"/>
  <c r="S29" i="3"/>
  <c r="T29" i="3" s="1"/>
  <c r="D29" i="4" s="1"/>
  <c r="D11" i="4"/>
  <c r="C3" i="4"/>
  <c r="N27" i="3"/>
  <c r="C27" i="4" s="1"/>
  <c r="D24" i="3"/>
  <c r="D24" i="4" s="1"/>
  <c r="C28" i="4"/>
  <c r="C22" i="4"/>
  <c r="N2" i="3"/>
  <c r="D8" i="4"/>
  <c r="N9" i="3"/>
  <c r="D28" i="3"/>
  <c r="D28" i="4" s="1"/>
  <c r="Y25" i="3"/>
  <c r="C25" i="4" s="1"/>
  <c r="C19" i="4"/>
  <c r="D27" i="4"/>
  <c r="D22" i="4"/>
  <c r="Y5" i="3"/>
  <c r="C5" i="4" s="1"/>
  <c r="C29" i="4"/>
  <c r="D6" i="4"/>
  <c r="D23" i="4"/>
  <c r="D5" i="3"/>
  <c r="D5" i="4" s="1"/>
  <c r="Y9" i="3"/>
  <c r="C2" i="4"/>
  <c r="N25" i="3"/>
  <c r="C12" i="4"/>
  <c r="I9" i="3"/>
  <c r="C9" i="4" s="1"/>
  <c r="C11" i="4"/>
  <c r="D26" i="3"/>
  <c r="D26" i="4" s="1"/>
  <c r="N7" i="3"/>
  <c r="C7" i="4" s="1"/>
  <c r="I26" i="3"/>
  <c r="C26" i="4" s="1"/>
  <c r="N12" i="3"/>
  <c r="D9" i="3"/>
  <c r="D9" i="4" s="1"/>
  <c r="Y13" i="3"/>
  <c r="C13" i="4" s="1"/>
  <c r="D13" i="3"/>
  <c r="D13" i="4" s="1"/>
  <c r="Y17" i="3"/>
  <c r="C17" i="4" s="1"/>
  <c r="N18" i="3"/>
  <c r="C18" i="4" s="1"/>
  <c r="N4" i="3"/>
  <c r="C4" i="4" s="1"/>
</calcChain>
</file>

<file path=xl/sharedStrings.xml><?xml version="1.0" encoding="utf-8"?>
<sst xmlns="http://schemas.openxmlformats.org/spreadsheetml/2006/main" count="431" uniqueCount="98">
  <si>
    <t>Harvest Period</t>
  </si>
  <si>
    <t>Country</t>
  </si>
  <si>
    <t>Consumption</t>
  </si>
  <si>
    <t>Production</t>
  </si>
  <si>
    <t>Exportation</t>
  </si>
  <si>
    <t>Importation</t>
  </si>
  <si>
    <t>Production_Olives</t>
  </si>
  <si>
    <t>PIB</t>
  </si>
  <si>
    <t>Inflation</t>
  </si>
  <si>
    <t>PriceAVG</t>
  </si>
  <si>
    <t>Precipitation (mm)</t>
  </si>
  <si>
    <t>2018/2019</t>
  </si>
  <si>
    <t>Spain</t>
  </si>
  <si>
    <t>2019/2020</t>
  </si>
  <si>
    <t>2020/2021</t>
  </si>
  <si>
    <t>2021/2022</t>
  </si>
  <si>
    <t>2022/2023</t>
  </si>
  <si>
    <t>2023/2024</t>
  </si>
  <si>
    <t>2024/2025</t>
  </si>
  <si>
    <t>2025/2026</t>
  </si>
  <si>
    <t>Portugal</t>
  </si>
  <si>
    <t>Greece</t>
  </si>
  <si>
    <t>Italy</t>
  </si>
  <si>
    <t>oferta</t>
  </si>
  <si>
    <t>production + exportation + production_olives</t>
  </si>
  <si>
    <t>dimensao mercado/procura</t>
  </si>
  <si>
    <t>consumption + importation</t>
  </si>
  <si>
    <t>clima</t>
  </si>
  <si>
    <t>precipitation</t>
  </si>
  <si>
    <t>Min</t>
  </si>
  <si>
    <t>Max</t>
  </si>
  <si>
    <t>Consumption_N</t>
  </si>
  <si>
    <t>Production_N</t>
  </si>
  <si>
    <t>Exportation_N</t>
  </si>
  <si>
    <t>Importation_N</t>
  </si>
  <si>
    <t>Importation_N_Inversion</t>
  </si>
  <si>
    <t>OO_N</t>
  </si>
  <si>
    <t>PIB_N</t>
  </si>
  <si>
    <t>Inflation_N</t>
  </si>
  <si>
    <t>Inflation_N_Inversion</t>
  </si>
  <si>
    <t>Inversion</t>
  </si>
  <si>
    <t>Precipitation_N</t>
  </si>
  <si>
    <t>Offer</t>
  </si>
  <si>
    <t>Market</t>
  </si>
  <si>
    <t>Climate</t>
  </si>
  <si>
    <t>Economic</t>
  </si>
  <si>
    <t>Unnamed: 4</t>
  </si>
  <si>
    <t>Min.1</t>
  </si>
  <si>
    <t>Max.1</t>
  </si>
  <si>
    <t>Unnamed: 9</t>
  </si>
  <si>
    <t>Min.2</t>
  </si>
  <si>
    <t>Max.2</t>
  </si>
  <si>
    <t>Unnamed: 14</t>
  </si>
  <si>
    <t>Min.3</t>
  </si>
  <si>
    <t>Max.3</t>
  </si>
  <si>
    <t>Unnamed: 20</t>
  </si>
  <si>
    <t>Min.4</t>
  </si>
  <si>
    <t>Max.4</t>
  </si>
  <si>
    <t>Unnamed: 25</t>
  </si>
  <si>
    <t>Min.5</t>
  </si>
  <si>
    <t>Max.5</t>
  </si>
  <si>
    <t>Unnamed: 30</t>
  </si>
  <si>
    <t>Min.6</t>
  </si>
  <si>
    <t>Max.6</t>
  </si>
  <si>
    <t>Unnamed: 36</t>
  </si>
  <si>
    <t>Min.7</t>
  </si>
  <si>
    <t>Max.7</t>
  </si>
  <si>
    <t>Inflation_N.1</t>
  </si>
  <si>
    <t>Unnamed: 42</t>
  </si>
  <si>
    <t>Min.8</t>
  </si>
  <si>
    <t>Max.8</t>
  </si>
  <si>
    <t>Offer_PCA</t>
  </si>
  <si>
    <t>Market_PCA</t>
  </si>
  <si>
    <t>Climate_PCA</t>
  </si>
  <si>
    <t>Economic_PCA</t>
  </si>
  <si>
    <t>ISMA_PCA</t>
  </si>
  <si>
    <t>Pesos Offer (%):</t>
  </si>
  <si>
    <t>%</t>
  </si>
  <si>
    <t>Pesos Market (%):</t>
  </si>
  <si>
    <t>Pesos Economic (%):</t>
  </si>
  <si>
    <t xml:space="preserve">Production_N     </t>
  </si>
  <si>
    <t xml:space="preserve">Consumption_N      </t>
  </si>
  <si>
    <t xml:space="preserve">PIB_N           </t>
  </si>
  <si>
    <t xml:space="preserve">Exportation_N   </t>
  </si>
  <si>
    <t xml:space="preserve">Importation_N_Inversion   </t>
  </si>
  <si>
    <t xml:space="preserve">Inflation_N_Inversion  </t>
  </si>
  <si>
    <t xml:space="preserve">OO_N             </t>
  </si>
  <si>
    <t>ISMA_FINAL</t>
  </si>
  <si>
    <t>PESOS FINAIS DO ISMA (%):</t>
  </si>
  <si>
    <t xml:space="preserve">O_PCA   </t>
  </si>
  <si>
    <t xml:space="preserve">M_PCA  </t>
  </si>
  <si>
    <t xml:space="preserve">C_PCA  </t>
  </si>
  <si>
    <t xml:space="preserve">E_PCA  </t>
  </si>
  <si>
    <t>Explication</t>
  </si>
  <si>
    <t>SalesBA</t>
  </si>
  <si>
    <t>Morocco</t>
  </si>
  <si>
    <t>Tunisia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</si>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</sst>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/>
  </cellStyleXfs>
  <cellXfs count="68">
    <xf numFmtId="0" fontId="0" fillId="0" borderId="0" xfId="0"/>
    <xf numFmtId="4" fontId="0" fillId="0" borderId="0" xfId="0" applyNumberFormat="1"/>
    <xf numFmtId="0" fontId="0" fillId="0" borderId="0" xfId="1" applyNumberFormat="1" applyFont="1"/>
    <xf numFmtId="9" fontId="0" fillId="0" borderId="0" xfId="1" applyFont="1"/>
    <xf numFmtId="0" fontId="0" fillId="4" borderId="0" xfId="0" applyFill="1"/>
    <xf numFmtId="4" fontId="0" fillId="4" borderId="0" xfId="0" applyNumberFormat="1" applyFill="1"/>
    <xf numFmtId="0" fontId="0" fillId="4" borderId="0" xfId="1" applyNumberFormat="1" applyFont="1" applyFill="1"/>
    <xf numFmtId="164" fontId="0" fillId="0" borderId="0" xfId="1" applyNumberFormat="1" applyFont="1"/>
    <xf numFmtId="164" fontId="0" fillId="4" borderId="0" xfId="1" applyNumberFormat="1" applyFont="1" applyFill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0" fillId="4" borderId="0" xfId="1" applyNumberFormat="1" applyFont="1" applyFill="1" applyAlignment="1">
      <alignment vertical="center" wrapText="1"/>
    </xf>
    <xf numFmtId="0" fontId="0" fillId="2" borderId="1" xfId="1" applyNumberFormat="1" applyFont="1" applyFill="1" applyBorder="1"/>
    <xf numFmtId="0" fontId="0" fillId="0" borderId="1" xfId="1" applyNumberFormat="1" applyFont="1" applyBorder="1"/>
    <xf numFmtId="0" fontId="0" fillId="4" borderId="1" xfId="1" applyNumberFormat="1" applyFont="1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  <xf numFmtId="0" fontId="3" fillId="0" borderId="0" xfId="0" applyFont="1"/>
    <xf numFmtId="0" fontId="3" fillId="0" borderId="2" xfId="0" applyFont="1" applyBorder="1"/>
    <xf numFmtId="0" fontId="6" fillId="0" borderId="2" xfId="0" applyFont="1" applyBorder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3" borderId="4" xfId="0" applyFont="1" applyFill="1" applyBorder="1"/>
    <xf numFmtId="164" fontId="2" fillId="3" borderId="4" xfId="1" applyNumberFormat="1" applyFont="1" applyFill="1" applyBorder="1"/>
    <xf numFmtId="0" fontId="0" fillId="0" borderId="5" xfId="0" applyBorder="1"/>
    <xf numFmtId="0" fontId="0" fillId="0" borderId="5" xfId="0" applyBorder="1" applyAlignment="1">
      <alignment vertical="center" wrapText="1"/>
    </xf>
    <xf numFmtId="0" fontId="0" fillId="0" borderId="5" xfId="1" applyNumberFormat="1" applyFont="1" applyBorder="1"/>
    <xf numFmtId="0" fontId="0" fillId="0" borderId="4" xfId="0" applyBorder="1"/>
    <xf numFmtId="4" fontId="0" fillId="0" borderId="4" xfId="0" applyNumberFormat="1" applyBorder="1"/>
    <xf numFmtId="4" fontId="0" fillId="0" borderId="1" xfId="0" applyNumberFormat="1" applyBorder="1"/>
    <xf numFmtId="4" fontId="0" fillId="0" borderId="5" xfId="0" applyNumberFormat="1" applyBorder="1"/>
    <xf numFmtId="0" fontId="0" fillId="0" borderId="4" xfId="0" applyBorder="1" applyAlignment="1">
      <alignment vertical="center" wrapText="1"/>
    </xf>
    <xf numFmtId="4" fontId="0" fillId="0" borderId="4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4" fontId="0" fillId="0" borderId="5" xfId="0" applyNumberFormat="1" applyBorder="1" applyAlignment="1">
      <alignment vertical="center" wrapText="1"/>
    </xf>
    <xf numFmtId="0" fontId="0" fillId="0" borderId="4" xfId="1" applyNumberFormat="1" applyFont="1" applyBorder="1"/>
    <xf numFmtId="4" fontId="0" fillId="0" borderId="4" xfId="1" applyNumberFormat="1" applyFont="1" applyBorder="1"/>
    <xf numFmtId="4" fontId="0" fillId="0" borderId="1" xfId="1" applyNumberFormat="1" applyFont="1" applyBorder="1"/>
    <xf numFmtId="4" fontId="0" fillId="0" borderId="5" xfId="1" applyNumberFormat="1" applyFont="1" applyBorder="1"/>
    <xf numFmtId="4" fontId="0" fillId="0" borderId="0" xfId="1" applyNumberFormat="1" applyFont="1"/>
    <xf numFmtId="0" fontId="7" fillId="0" borderId="6" xfId="0" applyFont="1" applyBorder="1" applyAlignment="1">
      <alignment horizontal="center" vertical="top"/>
    </xf>
    <xf numFmtId="4" fontId="7" fillId="0" borderId="6" xfId="0" applyNumberFormat="1" applyFont="1" applyBorder="1" applyAlignment="1">
      <alignment horizontal="center" vertical="top"/>
    </xf>
    <xf numFmtId="0" fontId="4" fillId="0" borderId="7" xfId="0" applyFont="1" applyBorder="1"/>
    <xf numFmtId="0" fontId="4" fillId="0" borderId="6" xfId="0" applyFont="1" applyBorder="1"/>
    <xf numFmtId="0" fontId="8" fillId="0" borderId="8" xfId="0" applyFont="1" applyBorder="1" applyAlignment="1">
      <alignment horizontal="center" vertical="top"/>
    </xf>
    <xf numFmtId="9" fontId="1" fillId="0" borderId="0" xfId="1"/>
    <xf numFmtId="0" fontId="0" fillId="8" borderId="0" xfId="0" applyFill="1"/>
    <xf numFmtId="0" fontId="0" fillId="0" borderId="9" xfId="0" applyBorder="1"/>
    <xf numFmtId="0" fontId="0" fillId="6" borderId="9" xfId="0" applyFill="1" applyBorder="1"/>
    <xf numFmtId="4" fontId="0" fillId="0" borderId="9" xfId="0" applyNumberFormat="1" applyBorder="1"/>
    <xf numFmtId="0" fontId="0" fillId="5" borderId="9" xfId="0" applyFill="1" applyBorder="1"/>
    <xf numFmtId="0" fontId="0" fillId="7" borderId="9" xfId="0" applyFill="1" applyBorder="1"/>
    <xf numFmtId="0" fontId="0" fillId="8" borderId="9" xfId="0" applyFill="1" applyBorder="1"/>
    <xf numFmtId="4" fontId="1" fillId="8" borderId="0" xfId="1" applyNumberFormat="1" applyFill="1"/>
    <xf numFmtId="4" fontId="1" fillId="0" borderId="0" xfId="1" applyNumberFormat="1"/>
    <xf numFmtId="4" fontId="1" fillId="0" borderId="9" xfId="1" applyNumberFormat="1" applyBorder="1"/>
    <xf numFmtId="4" fontId="1" fillId="8" borderId="9" xfId="1" applyNumberFormat="1" applyFill="1" applyBorder="1"/>
    <xf numFmtId="0" fontId="7" fillId="0" borderId="10" xfId="0" applyFont="1" applyBorder="1" applyAlignment="1">
      <alignment horizontal="center" vertical="top"/>
    </xf>
    <xf numFmtId="164" fontId="1" fillId="0" borderId="0" xfId="1" applyNumberFormat="1"/>
    <xf numFmtId="0" fontId="1" fillId="0" borderId="0" xfId="1" applyNumberFormat="1"/>
    <xf numFmtId="0" fontId="9" fillId="0" borderId="0" xfId="0" applyFont="1"/>
    <xf numFmtId="0" fontId="7" fillId="0" borderId="1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82">
    <dxf>
      <numFmt numFmtId="4" formatCode="#,##0.00"/>
    </dxf>
    <dxf>
      <numFmt numFmtId="4" formatCode="#,##0.00"/>
    </dxf>
    <dxf>
      <numFmt numFmtId="0" formatCode="General"/>
    </dxf>
    <dxf>
      <numFmt numFmtId="164" formatCode="0.0%"/>
    </dxf>
    <dxf>
      <numFmt numFmtId="4" formatCode="#,##0.00"/>
      <alignment horizontal="general" vertical="center" wrapText="1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alignment horizontal="general" vertical="center" wrapText="1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wrapText="1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wrapText="1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wrapText="1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 wrapText="1"/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4" formatCode="#,##0.0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glass-my.sharepoint.com/personal/ines_meira_baglass_com/Documents/Ambiente%20de%20Trabalho/Dashboard/Dashboard/statistics.xlsx" TargetMode="External"/><Relationship Id="rId1" Type="http://schemas.openxmlformats.org/officeDocument/2006/relationships/externalLinkPath" Target="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xport"/>
      <sheetName val="Price"/>
    </sheetNames>
    <sheetDataSet>
      <sheetData sheetId="0">
        <row r="5">
          <cell r="A5" t="str">
            <v>Sum of Tonnes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29" totalsRowShown="0" headerRowDxfId="81" headerRowBorderDxfId="80" tableBorderDxfId="79" totalsRowBorderDxfId="78">
  <autoFilter ref="A1:D29" xr:uid="{00000000-0009-0000-0100-000002000000}"/>
  <tableColumns count="4">
    <tableColumn id="3" xr3:uid="{00000000-0010-0000-0100-000003000000}" name="Consumption" dataDxfId="77"/>
    <tableColumn id="4" xr3:uid="{00000000-0010-0000-0100-000004000000}" name="Min" dataDxfId="76">
      <calculatedColumnFormula>MIN(Table2[Consumption])</calculatedColumnFormula>
    </tableColumn>
    <tableColumn id="16" xr3:uid="{00000000-0010-0000-0100-000010000000}" name="Max" dataDxfId="75">
      <calculatedColumnFormula>MAX(Table2[Consumption])</calculatedColumnFormula>
    </tableColumn>
    <tableColumn id="17" xr3:uid="{00000000-0010-0000-0100-000011000000}" name="Consumption_N" dataDxfId="74">
      <calculatedColumnFormula>(Table2[[#This Row],[Consumption]]-Table2[[#This Row],[Min]])/(Table2[[#This Row],[Max]]-Table2[[#This Row],[Min]])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I29" totalsRowShown="0" headerRowDxfId="73" dataDxfId="71" headerRowBorderDxfId="72" tableBorderDxfId="70" totalsRowBorderDxfId="69">
  <autoFilter ref="F1:I29" xr:uid="{00000000-0009-0000-0100-000003000000}"/>
  <tableColumns count="4">
    <tableColumn id="1" xr3:uid="{00000000-0010-0000-0200-000001000000}" name="Production" dataDxfId="68"/>
    <tableColumn id="2" xr3:uid="{00000000-0010-0000-0200-000002000000}" name="Min" dataDxfId="67">
      <calculatedColumnFormula>MIN(Table3[Production])</calculatedColumnFormula>
    </tableColumn>
    <tableColumn id="3" xr3:uid="{00000000-0010-0000-0200-000003000000}" name="Max" dataDxfId="66">
      <calculatedColumnFormula>MAX(Table3[Production])</calculatedColumnFormula>
    </tableColumn>
    <tableColumn id="4" xr3:uid="{00000000-0010-0000-0200-000004000000}" name="Production_N" dataDxfId="65">
      <calculatedColumnFormula>(Table3[[#This Row],[Production]]-Table3[[#This Row],[Min]])/(Table3[[#This Row],[Max]]-Table3[[#This Row],[Min]])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:N29" totalsRowShown="0" headerRowDxfId="64" dataDxfId="62" headerRowBorderDxfId="63">
  <autoFilter ref="K1:N29" xr:uid="{00000000-0009-0000-0100-000004000000}"/>
  <tableColumns count="4">
    <tableColumn id="1" xr3:uid="{00000000-0010-0000-0300-000001000000}" name="Exportation" dataDxfId="61"/>
    <tableColumn id="2" xr3:uid="{00000000-0010-0000-0300-000002000000}" name="Min" dataDxfId="60">
      <calculatedColumnFormula>MIN(Table4[Exportation])</calculatedColumnFormula>
    </tableColumn>
    <tableColumn id="3" xr3:uid="{00000000-0010-0000-0300-000003000000}" name="Max" dataDxfId="59">
      <calculatedColumnFormula>MAX(Table4[Exportation])</calculatedColumnFormula>
    </tableColumn>
    <tableColumn id="4" xr3:uid="{00000000-0010-0000-0300-000004000000}" name="Exportation_N" dataDxfId="58">
      <calculatedColumnFormula>(Table4[[#This Row],[Exportation]]-Table4[[#This Row],[Min]])/(Table4[[#This Row],[Max]]-Table4[[#This Row],[Min]])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P1:T29" totalsRowShown="0" headerRowDxfId="57" dataDxfId="55" headerRowBorderDxfId="56">
  <autoFilter ref="P1:T29" xr:uid="{00000000-0009-0000-0100-000005000000}"/>
  <tableColumns count="5">
    <tableColumn id="1" xr3:uid="{00000000-0010-0000-0400-000001000000}" name="Importation" dataDxfId="54"/>
    <tableColumn id="2" xr3:uid="{00000000-0010-0000-0400-000002000000}" name="Min" dataDxfId="53">
      <calculatedColumnFormula>MIN(Table5[Importation])</calculatedColumnFormula>
    </tableColumn>
    <tableColumn id="3" xr3:uid="{00000000-0010-0000-0400-000003000000}" name="Max" dataDxfId="52">
      <calculatedColumnFormula>MAX(Table5[Importation])</calculatedColumnFormula>
    </tableColumn>
    <tableColumn id="4" xr3:uid="{00000000-0010-0000-0400-000004000000}" name="Importation_N" dataDxfId="51">
      <calculatedColumnFormula>(Table5[[#This Row],[Importation]]-Table5[[#This Row],[Min]])/(Table5[[#This Row],[Max]]-Table5[[#This Row],[Min]])</calculatedColumnFormula>
    </tableColumn>
    <tableColumn id="5" xr3:uid="{00000000-0010-0000-0400-000005000000}" name="Importation_N_Inversion" dataDxfId="50">
      <calculatedColumnFormula>1-Table5[[#This Row],[Importation_N]]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V1:Y29" totalsRowShown="0" headerRowDxfId="49" dataDxfId="47" headerRowBorderDxfId="48">
  <autoFilter ref="V1:Y29" xr:uid="{00000000-0009-0000-0100-000006000000}"/>
  <tableColumns count="4">
    <tableColumn id="1" xr3:uid="{00000000-0010-0000-0500-000001000000}" name="Production_Olives" dataDxfId="46"/>
    <tableColumn id="2" xr3:uid="{00000000-0010-0000-0500-000002000000}" name="Min" dataDxfId="45">
      <calculatedColumnFormula>MIN(Table6[Production_Olives])</calculatedColumnFormula>
    </tableColumn>
    <tableColumn id="3" xr3:uid="{00000000-0010-0000-0500-000003000000}" name="Max" dataDxfId="44">
      <calculatedColumnFormula>MAX(Table6[Production_Olives])</calculatedColumnFormula>
    </tableColumn>
    <tableColumn id="4" xr3:uid="{00000000-0010-0000-0500-000004000000}" name="OO_N" dataDxfId="43">
      <calculatedColumnFormula>(Table6[[#This Row],[Production_Olives]]-Table6[[#This Row],[Min]])/(Table6[[#This Row],[Max]]-Table6[[#This Row],[Min]])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8" displayName="Table8" ref="AA1:AD29" totalsRowShown="0" headerRowDxfId="42" dataDxfId="40" headerRowBorderDxfId="41" headerRowCellStyle="Percent" dataCellStyle="Percent">
  <autoFilter ref="AA1:AD29" xr:uid="{00000000-0009-0000-0100-000007000000}"/>
  <tableColumns count="4">
    <tableColumn id="1" xr3:uid="{00000000-0010-0000-0600-000001000000}" name="PIB" dataDxfId="39" dataCellStyle="Percent"/>
    <tableColumn id="2" xr3:uid="{00000000-0010-0000-0600-000002000000}" name="Min" dataDxfId="38" dataCellStyle="Percent">
      <calculatedColumnFormula>MIN(Table8[PIB])</calculatedColumnFormula>
    </tableColumn>
    <tableColumn id="3" xr3:uid="{00000000-0010-0000-0600-000003000000}" name="Max" dataDxfId="37" dataCellStyle="Percent">
      <calculatedColumnFormula>MAX(Table8[PIB])</calculatedColumnFormula>
    </tableColumn>
    <tableColumn id="4" xr3:uid="{00000000-0010-0000-0600-000004000000}" name="PIB_N" dataDxfId="36" dataCellStyle="Percent">
      <calculatedColumnFormula>(Table8[[#This Row],[PIB]]-Table8[[#This Row],[Min]])/(Table8[[#This Row],[Max]]-Table8[[#This Row],[Min]])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9" displayName="Table9" ref="AF1:AJ29" totalsRowShown="0" headerRowDxfId="35" dataDxfId="33" headerRowBorderDxfId="34" dataCellStyle="Percent">
  <autoFilter ref="AF1:AJ29" xr:uid="{00000000-0009-0000-0100-000008000000}"/>
  <tableColumns count="5">
    <tableColumn id="1" xr3:uid="{00000000-0010-0000-0700-000001000000}" name="Inflation" dataDxfId="32" dataCellStyle="Percent"/>
    <tableColumn id="2" xr3:uid="{00000000-0010-0000-0700-000002000000}" name="Min" dataDxfId="31" dataCellStyle="Percent">
      <calculatedColumnFormula>MIN(Table9[Inflation])</calculatedColumnFormula>
    </tableColumn>
    <tableColumn id="3" xr3:uid="{00000000-0010-0000-0700-000003000000}" name="Max" dataDxfId="30" dataCellStyle="Percent">
      <calculatedColumnFormula>MAX(Table9[Inflation])</calculatedColumnFormula>
    </tableColumn>
    <tableColumn id="4" xr3:uid="{00000000-0010-0000-0700-000004000000}" name="Inflation_N" dataDxfId="29" dataCellStyle="Percent">
      <calculatedColumnFormula>(Table9[[#This Row],[Inflation]]-Table9[[#This Row],[Min]])/(Table9[[#This Row],[Max]]-Table9[[#This Row],[Min]])</calculatedColumnFormula>
    </tableColumn>
    <tableColumn id="5" xr3:uid="{00000000-0010-0000-0700-000005000000}" name="Inflation_N_Inversion" dataDxfId="28" dataCellStyle="Percent">
      <calculatedColumnFormula>1-Table9[[#This Row],[Inflation_N]]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0" displayName="Table10" ref="AL1:AP29" totalsRowShown="0" headerRowDxfId="27" dataDxfId="25" headerRowBorderDxfId="26">
  <autoFilter ref="AL1:AP29" xr:uid="{00000000-0009-0000-0100-000009000000}"/>
  <tableColumns count="5">
    <tableColumn id="1" xr3:uid="{00000000-0010-0000-0800-000001000000}" name="PriceAVG" dataDxfId="24"/>
    <tableColumn id="2" xr3:uid="{00000000-0010-0000-0800-000002000000}" name="Min" dataDxfId="23">
      <calculatedColumnFormula>MIN(Table10[PriceAVG])</calculatedColumnFormula>
    </tableColumn>
    <tableColumn id="3" xr3:uid="{00000000-0010-0000-0800-000003000000}" name="Max" dataDxfId="22">
      <calculatedColumnFormula>MAX(Table10[PriceAVG])</calculatedColumnFormula>
    </tableColumn>
    <tableColumn id="4" xr3:uid="{00000000-0010-0000-0800-000004000000}" name="Inflation_N" dataDxfId="21">
      <calculatedColumnFormula>(Table10[[#This Row],[PriceAVG]]-Table10[[#This Row],[Min]])/(Table10[[#This Row],[Max]]-Table10[[#This Row],[Min]])</calculatedColumnFormula>
    </tableColumn>
    <tableColumn id="5" xr3:uid="{00000000-0010-0000-0800-000005000000}" name="Inversion" dataDxfId="20">
      <calculatedColumnFormula>1-Table10[[#This Row],[Inflation_N]]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1" displayName="Table11" ref="AR1:AU29" totalsRowShown="0" headerRowDxfId="19" dataDxfId="17" headerRowBorderDxfId="18">
  <autoFilter ref="AR1:AU29" xr:uid="{00000000-0009-0000-0100-00000A000000}"/>
  <tableColumns count="4">
    <tableColumn id="1" xr3:uid="{00000000-0010-0000-0900-000001000000}" name="Precipitation (mm)" dataDxfId="16"/>
    <tableColumn id="2" xr3:uid="{00000000-0010-0000-0900-000002000000}" name="Min" dataDxfId="15">
      <calculatedColumnFormula>MIN(Table11[Precipitation (mm)])</calculatedColumnFormula>
    </tableColumn>
    <tableColumn id="3" xr3:uid="{00000000-0010-0000-0900-000003000000}" name="Max" dataDxfId="14">
      <calculatedColumnFormula>MAX(Table11[Precipitation (mm)])</calculatedColumnFormula>
    </tableColumn>
    <tableColumn id="4" xr3:uid="{00000000-0010-0000-0900-000004000000}" name="Precipitation_N" dataDxfId="13">
      <calculatedColumnFormula>(Table11[[#This Row],[Precipitation (mm)]]-Table11[[#This Row],[Min]])/(Table11[[#This Row],[Max]]-Table11[[#This Row],[Min]])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2" displayName="Table12" ref="C1:F29" totalsRowShown="0">
  <autoFilter ref="C1:F29" xr:uid="{00000000-0009-0000-0100-00000B000000}"/>
  <tableColumns count="4">
    <tableColumn id="1" xr3:uid="{00000000-0010-0000-0A00-000001000000}" name="Offer" dataDxfId="12">
      <calculatedColumnFormula>(Table3[[#This Row],[Production_N]]+Table6[[#This Row],[OO_N]]+Table4[[#This Row],[Exportation_N]])/3</calculatedColumnFormula>
    </tableColumn>
    <tableColumn id="2" xr3:uid="{00000000-0010-0000-0A00-000002000000}" name="Market" dataDxfId="11">
      <calculatedColumnFormula>(Table2[[#This Row],[Consumption_N]]+Table5[[#This Row],[Importation_N_Inversion]])/2</calculatedColumnFormula>
    </tableColumn>
    <tableColumn id="3" xr3:uid="{00000000-0010-0000-0A00-000003000000}" name="Climate" dataDxfId="10">
      <calculatedColumnFormula>Table11[[#This Row],[Precipitation_N]]</calculatedColumnFormula>
    </tableColumn>
    <tableColumn id="4" xr3:uid="{00000000-0010-0000-0A00-000004000000}" name="Economic" dataDxfId="9">
      <calculatedColumnFormula>(Table8[[#This Row],[PIB_N]]+Table9[[#This Row],[Inflation_N_Inversion]])/2</calculatedColumnFormula>
    </tableColumn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3" displayName="Table13" ref="A1:B29" totalsRowShown="0">
  <autoFilter ref="A1:B29" xr:uid="{00000000-0009-0000-0100-00000C000000}"/>
  <tableColumns count="2">
    <tableColumn id="1" xr3:uid="{00000000-0010-0000-0B00-000001000000}" name="Harvest Period"/>
    <tableColumn id="2" xr3:uid="{00000000-0010-0000-0B00-000002000000}" name="Country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7" displayName="Table7" ref="A1:K47" totalsRowShown="0">
  <autoFilter ref="A1:K47" xr:uid="{00000000-0009-0000-0100-000001000000}"/>
  <tableColumns count="11">
    <tableColumn id="1" xr3:uid="{00000000-0010-0000-0000-000001000000}" name="Harvest Period"/>
    <tableColumn id="6" xr3:uid="{00000000-0010-0000-0000-000006000000}" name="Country"/>
    <tableColumn id="2" xr3:uid="{00000000-0010-0000-0000-000002000000}" name="Consumption" dataDxfId="8">
      <calculatedColumnFormula>525.7*1000</calculatedColumnFormula>
    </tableColumn>
    <tableColumn id="3" xr3:uid="{00000000-0010-0000-0000-000003000000}" name="Production" dataDxfId="7">
      <calculatedColumnFormula>1789.9*1000</calculatedColumnFormula>
    </tableColumn>
    <tableColumn id="4" xr3:uid="{00000000-0010-0000-0000-000004000000}" name="Exportation" dataDxfId="6">
      <calculatedColumnFormula>355.8*1000</calculatedColumnFormula>
    </tableColumn>
    <tableColumn id="5" xr3:uid="{00000000-0010-0000-0000-000005000000}" name="Importation" dataDxfId="5">
      <calculatedColumnFormula>84*1000</calculatedColumnFormula>
    </tableColumn>
    <tableColumn id="12" xr3:uid="{00000000-0010-0000-0000-00000C000000}" name="Production_Olives" dataDxfId="4">
      <calculatedColumnFormula>591.1*1000</calculatedColumnFormula>
    </tableColumn>
    <tableColumn id="7" xr3:uid="{00000000-0010-0000-0000-000007000000}" name="PIB" dataDxfId="3" dataCellStyle="Percent"/>
    <tableColumn id="8" xr3:uid="{00000000-0010-0000-0000-000008000000}" name="Inflation" dataDxfId="2" dataCellStyle="Percent"/>
    <tableColumn id="9" xr3:uid="{00000000-0010-0000-0000-000009000000}" name="PriceAVG" dataDxfId="1"/>
    <tableColumn id="10" xr3:uid="{00000000-0010-0000-0000-00000A000000}" name="Precipitation (mm)" dataDxfId="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4" displayName="Table14" ref="A32:B35" totalsRowShown="0">
  <autoFilter ref="A32:B35" xr:uid="{00000000-0009-0000-0100-00000D000000}"/>
  <tableColumns count="2">
    <tableColumn id="1" xr3:uid="{00000000-0010-0000-0C00-000001000000}" name="Pesos Offer (%):"/>
    <tableColumn id="2" xr3:uid="{00000000-0010-0000-0C00-000002000000}" name="%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5" displayName="Table15" ref="D32:E34" totalsRowShown="0">
  <autoFilter ref="D32:E34" xr:uid="{00000000-0009-0000-0100-00000E000000}"/>
  <tableColumns count="2">
    <tableColumn id="1" xr3:uid="{00000000-0010-0000-0D00-000001000000}" name="Pesos Market (%):"/>
    <tableColumn id="2" xr3:uid="{00000000-0010-0000-0D00-000002000000}" name="%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6" displayName="Table16" ref="H32:I34" totalsRowShown="0">
  <autoFilter ref="H32:I34" xr:uid="{00000000-0009-0000-0100-00000F000000}"/>
  <tableColumns count="2">
    <tableColumn id="1" xr3:uid="{00000000-0010-0000-0E00-000001000000}" name="Pesos Economic (%):"/>
    <tableColumn id="2" xr3:uid="{00000000-0010-0000-0E00-000002000000}" name="%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8D8E1D-1C77-46F9-8E25-73B6631EC0CD}" name="Table17" displayName="Table17" ref="A32:B36" totalsRowShown="0">
  <autoFilter ref="A32:B36" xr:uid="{958D8E1D-1C77-46F9-8E25-73B6631EC0CD}"/>
  <tableColumns count="2">
    <tableColumn id="1" xr3:uid="{8C3A2536-2A82-4237-9C1D-FBFFC045673A}" name="PESOS FINAIS DO ISMA (%):"/>
    <tableColumn id="2" xr3:uid="{6EF85230-B847-4A4B-A244-6D388C4BE96C}" name="%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"/>
  <sheetViews>
    <sheetView showGridLines="0" workbookViewId="0">
      <selection activeCell="E7" sqref="E7"/>
    </sheetView>
  </sheetViews>
  <sheetFormatPr defaultRowHeight="14.4" x14ac:dyDescent="0.3"/>
  <cols>
    <col min="1" max="1" width="17.44140625" bestFit="1" customWidth="1"/>
    <col min="2" max="2" width="13" bestFit="1" customWidth="1"/>
    <col min="3" max="5" width="12.6640625" bestFit="1" customWidth="1"/>
    <col min="6" max="6" width="17.109375" bestFit="1" customWidth="1"/>
    <col min="7" max="8" width="12.6640625" bestFit="1" customWidth="1"/>
    <col min="9" max="9" width="12" bestFit="1" customWidth="1"/>
    <col min="10" max="10" width="17.6640625" bestFit="1" customWidth="1"/>
  </cols>
  <sheetData>
    <row r="1" spans="1:18" x14ac:dyDescent="0.3">
      <c r="A1" s="10"/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</row>
    <row r="2" spans="1:18" x14ac:dyDescent="0.3">
      <c r="A2" t="s">
        <v>2</v>
      </c>
      <c r="B2">
        <v>1</v>
      </c>
      <c r="N2" s="15"/>
      <c r="O2" s="18" t="s">
        <v>23</v>
      </c>
      <c r="R2" t="s">
        <v>24</v>
      </c>
    </row>
    <row r="3" spans="1:18" x14ac:dyDescent="0.3">
      <c r="A3" t="s">
        <v>3</v>
      </c>
      <c r="B3">
        <v>0.71486716674900608</v>
      </c>
      <c r="C3">
        <v>1</v>
      </c>
      <c r="N3" s="16"/>
      <c r="O3" s="18" t="s">
        <v>25</v>
      </c>
      <c r="R3" t="s">
        <v>26</v>
      </c>
    </row>
    <row r="4" spans="1:18" x14ac:dyDescent="0.3">
      <c r="A4" t="s">
        <v>4</v>
      </c>
      <c r="B4">
        <v>0.73008802298817843</v>
      </c>
      <c r="C4" s="15">
        <v>0.90909622588071493</v>
      </c>
      <c r="D4">
        <v>1</v>
      </c>
      <c r="N4" s="17"/>
      <c r="O4" s="18" t="s">
        <v>27</v>
      </c>
      <c r="R4" t="s">
        <v>28</v>
      </c>
    </row>
    <row r="5" spans="1:18" x14ac:dyDescent="0.3">
      <c r="A5" t="s">
        <v>5</v>
      </c>
      <c r="B5" s="16">
        <v>0.9032533963524596</v>
      </c>
      <c r="C5">
        <v>0.70292037216769454</v>
      </c>
      <c r="D5">
        <v>0.78403407299480421</v>
      </c>
      <c r="E5">
        <v>1</v>
      </c>
    </row>
    <row r="6" spans="1:18" x14ac:dyDescent="0.3">
      <c r="A6" t="s">
        <v>6</v>
      </c>
      <c r="B6">
        <v>0.56124284024378923</v>
      </c>
      <c r="C6" s="15">
        <v>0.91541506656202321</v>
      </c>
      <c r="D6" s="15">
        <v>0.8282870145208352</v>
      </c>
      <c r="E6">
        <v>0.57783122043481572</v>
      </c>
      <c r="F6">
        <v>1</v>
      </c>
    </row>
    <row r="7" spans="1:18" x14ac:dyDescent="0.3">
      <c r="A7" t="s">
        <v>7</v>
      </c>
      <c r="B7">
        <v>-1.83260323536256E-2</v>
      </c>
      <c r="C7">
        <v>4.9750868213181081E-2</v>
      </c>
      <c r="D7">
        <v>3.6457059673704273E-2</v>
      </c>
      <c r="E7">
        <v>9.0723749666110787E-3</v>
      </c>
      <c r="F7">
        <v>6.5680514604014098E-2</v>
      </c>
      <c r="G7">
        <v>1</v>
      </c>
    </row>
    <row r="8" spans="1:18" x14ac:dyDescent="0.3">
      <c r="A8" t="s">
        <v>8</v>
      </c>
      <c r="B8">
        <v>-7.1514770757304278E-3</v>
      </c>
      <c r="C8">
        <v>-4.3509722773251998E-2</v>
      </c>
      <c r="D8">
        <v>-3.604954324430934E-2</v>
      </c>
      <c r="E8">
        <v>3.6649519882055552E-2</v>
      </c>
      <c r="F8">
        <v>4.7682419814887023E-2</v>
      </c>
      <c r="G8" s="19">
        <v>0.51738408087072774</v>
      </c>
      <c r="H8">
        <v>1</v>
      </c>
    </row>
    <row r="9" spans="1:18" x14ac:dyDescent="0.3">
      <c r="A9" t="s">
        <v>9</v>
      </c>
      <c r="B9">
        <v>-0.10310548035066559</v>
      </c>
      <c r="C9">
        <v>-0.1735916985261218</v>
      </c>
      <c r="D9">
        <v>-0.16312037789038181</v>
      </c>
      <c r="E9">
        <v>1.0080086986717E-2</v>
      </c>
      <c r="F9">
        <v>-0.2175091723985553</v>
      </c>
      <c r="G9" s="19">
        <v>0.16203823897754999</v>
      </c>
      <c r="H9" s="19">
        <v>0.26944985304995012</v>
      </c>
      <c r="I9">
        <v>1</v>
      </c>
    </row>
    <row r="10" spans="1:18" ht="15" customHeight="1" thickBot="1" x14ac:dyDescent="0.35">
      <c r="A10" s="9" t="s">
        <v>10</v>
      </c>
      <c r="B10" s="9">
        <v>0.1216576161252123</v>
      </c>
      <c r="C10" s="21">
        <v>-0.37921649534160479</v>
      </c>
      <c r="D10" s="9">
        <v>-0.41506891013565861</v>
      </c>
      <c r="E10" s="9">
        <v>-4.5499917612180869E-2</v>
      </c>
      <c r="F10" s="21">
        <v>-0.50207364036299229</v>
      </c>
      <c r="G10" s="20">
        <v>-4.1458888173777207E-2</v>
      </c>
      <c r="H10" s="20">
        <v>-0.19797444568593561</v>
      </c>
      <c r="I10" s="20">
        <v>5.1427741233461312E-2</v>
      </c>
      <c r="J10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9"/>
  <sheetViews>
    <sheetView showGridLines="0" topLeftCell="AG1" workbookViewId="0">
      <selection activeCell="AY1" sqref="AY1"/>
    </sheetView>
  </sheetViews>
  <sheetFormatPr defaultRowHeight="14.4" x14ac:dyDescent="0.3"/>
  <cols>
    <col min="1" max="1" width="9.44140625" customWidth="1"/>
    <col min="4" max="4" width="10.109375" customWidth="1"/>
    <col min="6" max="6" width="10.109375" customWidth="1"/>
    <col min="9" max="9" width="6.21875" customWidth="1"/>
    <col min="10" max="10" width="12.33203125" customWidth="1"/>
    <col min="11" max="11" width="12.88671875" customWidth="1"/>
    <col min="12" max="12" width="6.21875" customWidth="1"/>
    <col min="13" max="13" width="8.33203125" customWidth="1"/>
    <col min="14" max="14" width="6.88671875" customWidth="1"/>
    <col min="15" max="15" width="10.33203125" customWidth="1"/>
    <col min="16" max="16" width="10.109375" customWidth="1"/>
    <col min="17" max="17" width="6.6640625" bestFit="1" customWidth="1"/>
    <col min="19" max="19" width="5.88671875" customWidth="1"/>
    <col min="20" max="20" width="11.21875" bestFit="1" customWidth="1"/>
    <col min="22" max="22" width="9" customWidth="1"/>
    <col min="25" max="25" width="8.33203125" bestFit="1" customWidth="1"/>
    <col min="32" max="32" width="10.33203125" customWidth="1"/>
    <col min="38" max="38" width="11.109375" customWidth="1"/>
    <col min="41" max="42" width="6" customWidth="1"/>
    <col min="44" max="44" width="10.88671875" customWidth="1"/>
    <col min="47" max="47" width="9.44140625" customWidth="1"/>
  </cols>
  <sheetData>
    <row r="1" spans="1:47" x14ac:dyDescent="0.3">
      <c r="A1" s="28" t="s">
        <v>2</v>
      </c>
      <c r="B1" t="s">
        <v>29</v>
      </c>
      <c r="C1" s="28" t="s">
        <v>30</v>
      </c>
      <c r="D1" s="28" t="s">
        <v>31</v>
      </c>
      <c r="F1" s="28" t="s">
        <v>3</v>
      </c>
      <c r="G1" s="28" t="s">
        <v>29</v>
      </c>
      <c r="H1" s="28" t="s">
        <v>30</v>
      </c>
      <c r="I1" s="28" t="s">
        <v>32</v>
      </c>
      <c r="K1" s="28" t="s">
        <v>4</v>
      </c>
      <c r="L1" s="28" t="s">
        <v>29</v>
      </c>
      <c r="M1" s="28" t="s">
        <v>30</v>
      </c>
      <c r="N1" s="28" t="s">
        <v>33</v>
      </c>
      <c r="P1" s="28" t="s">
        <v>5</v>
      </c>
      <c r="Q1" s="28" t="s">
        <v>29</v>
      </c>
      <c r="R1" s="28" t="s">
        <v>30</v>
      </c>
      <c r="S1" s="28" t="s">
        <v>34</v>
      </c>
      <c r="T1" s="28" t="s">
        <v>35</v>
      </c>
      <c r="V1" s="28" t="s">
        <v>6</v>
      </c>
      <c r="W1" s="28" t="s">
        <v>29</v>
      </c>
      <c r="X1" s="28" t="s">
        <v>30</v>
      </c>
      <c r="Y1" s="28" t="s">
        <v>36</v>
      </c>
      <c r="AA1" s="29" t="s">
        <v>7</v>
      </c>
      <c r="AB1" s="29" t="s">
        <v>29</v>
      </c>
      <c r="AC1" s="29" t="s">
        <v>30</v>
      </c>
      <c r="AD1" s="29" t="s">
        <v>37</v>
      </c>
      <c r="AF1" s="28" t="s">
        <v>8</v>
      </c>
      <c r="AG1" s="28" t="s">
        <v>29</v>
      </c>
      <c r="AH1" s="28" t="s">
        <v>30</v>
      </c>
      <c r="AI1" s="28" t="s">
        <v>38</v>
      </c>
      <c r="AJ1" s="28" t="s">
        <v>39</v>
      </c>
      <c r="AL1" s="28" t="s">
        <v>9</v>
      </c>
      <c r="AM1" s="28" t="s">
        <v>29</v>
      </c>
      <c r="AN1" s="28" t="s">
        <v>30</v>
      </c>
      <c r="AO1" s="28" t="s">
        <v>38</v>
      </c>
      <c r="AP1" s="28" t="s">
        <v>40</v>
      </c>
      <c r="AR1" s="28" t="s">
        <v>10</v>
      </c>
      <c r="AS1" s="28" t="s">
        <v>29</v>
      </c>
      <c r="AT1" s="28" t="s">
        <v>30</v>
      </c>
      <c r="AU1" s="28" t="s">
        <v>41</v>
      </c>
    </row>
    <row r="2" spans="1:47" x14ac:dyDescent="0.3">
      <c r="A2" s="24">
        <f>525.7*1000</f>
        <v>525700</v>
      </c>
      <c r="B2">
        <f>MIN(Table2[Consumption])</f>
        <v>12000</v>
      </c>
      <c r="C2" s="33">
        <f>MAX(Table2[Consumption])</f>
        <v>579900</v>
      </c>
      <c r="D2" s="34">
        <f>(Table2[[#This Row],[Consumption]]-Table2[[#This Row],[Min]])/(Table2[[#This Row],[Max]]-Table2[[#This Row],[Min]])</f>
        <v>0.90456066208839581</v>
      </c>
      <c r="F2" s="24">
        <f>1789.9*1000</f>
        <v>1789900</v>
      </c>
      <c r="G2" s="24">
        <f>MIN(Table3[Production])</f>
        <v>100000</v>
      </c>
      <c r="H2" s="24">
        <f>MAX(Table3[Production])</f>
        <v>1789900</v>
      </c>
      <c r="I2" s="34">
        <f>(Table3[[#This Row],[Production]]-Table3[[#This Row],[Min]])/(Table3[[#This Row],[Max]]-Table3[[#This Row],[Min]])</f>
        <v>1</v>
      </c>
      <c r="K2" s="24">
        <f>355.8*1000</f>
        <v>355800</v>
      </c>
      <c r="L2" s="33">
        <f>MIN(Table4[Exportation])</f>
        <v>19600</v>
      </c>
      <c r="M2" s="33">
        <f>MAX(Table4[Exportation])</f>
        <v>468100</v>
      </c>
      <c r="N2" s="34">
        <f>(Table4[[#This Row],[Exportation]]-Table4[[#This Row],[Min]])/(Table4[[#This Row],[Max]]-Table4[[#This Row],[Min]])</f>
        <v>0.74960981047937569</v>
      </c>
      <c r="P2" s="24">
        <f>84*1000</f>
        <v>84000</v>
      </c>
      <c r="Q2" s="33">
        <f>MIN(Table5[Importation])</f>
        <v>0</v>
      </c>
      <c r="R2" s="33">
        <f>MAX(Table5[Importation])</f>
        <v>151900</v>
      </c>
      <c r="S2" s="34">
        <f>(Table5[[#This Row],[Importation]]-Table5[[#This Row],[Min]])/(Table5[[#This Row],[Max]]-Table5[[#This Row],[Min]])</f>
        <v>0.55299539170506917</v>
      </c>
      <c r="T2" s="1">
        <f>1-Table5[[#This Row],[Importation_N]]</f>
        <v>0.44700460829493083</v>
      </c>
      <c r="V2" s="24">
        <f>591.1*1000</f>
        <v>591100</v>
      </c>
      <c r="W2" s="37">
        <f>MIN(Table6[Production_Olives])</f>
        <v>15600</v>
      </c>
      <c r="X2" s="37">
        <f>MAX(Table6[Production_Olives])</f>
        <v>659300</v>
      </c>
      <c r="Y2" s="38">
        <f>(Table6[[#This Row],[Production_Olives]]-Table6[[#This Row],[Min]])/(Table6[[#This Row],[Max]]-Table6[[#This Row],[Min]])</f>
        <v>0.89405002330278083</v>
      </c>
      <c r="AA2" s="12">
        <v>2.4E-2</v>
      </c>
      <c r="AB2" s="41">
        <f>MIN(Table8[PIB])</f>
        <v>-9.1999999999999998E-2</v>
      </c>
      <c r="AC2" s="41">
        <f>MAX(Table8[PIB])</f>
        <v>8.8999999999999996E-2</v>
      </c>
      <c r="AD2" s="42">
        <f>(Table8[[#This Row],[PIB]]-Table8[[#This Row],[Min]])/(Table8[[#This Row],[Max]]-Table8[[#This Row],[Min]])</f>
        <v>0.64088397790055252</v>
      </c>
      <c r="AF2" s="12">
        <v>1.7000000000000001E-2</v>
      </c>
      <c r="AG2" s="41">
        <f>MIN(Table9[Inflation])</f>
        <v>-1.2E-2</v>
      </c>
      <c r="AH2" s="41">
        <f>MAX(Table9[Inflation])</f>
        <v>9.6000000000000002E-2</v>
      </c>
      <c r="AI2" s="42">
        <f>(Table9[[#This Row],[Inflation]]-Table9[[#This Row],[Min]])/(Table9[[#This Row],[Max]]-Table9[[#This Row],[Min]])</f>
        <v>0.26851851851851855</v>
      </c>
      <c r="AJ2" s="45">
        <f>1-Table9[[#This Row],[Inflation_N]]</f>
        <v>0.7314814814814814</v>
      </c>
      <c r="AL2" s="24">
        <v>245.30077198866351</v>
      </c>
      <c r="AM2" s="33">
        <f>MIN(Table10[PriceAVG])</f>
        <v>164.12043561896019</v>
      </c>
      <c r="AN2" s="33">
        <f>MAX(Table10[PriceAVG])</f>
        <v>840.98425196850394</v>
      </c>
      <c r="AO2" s="34">
        <f>(Table10[[#This Row],[PriceAVG]]-Table10[[#This Row],[Min]])/(Table10[[#This Row],[Max]]-Table10[[#This Row],[Min]])</f>
        <v>0.1199359965901626</v>
      </c>
      <c r="AP2" s="1">
        <f>1-Table10[[#This Row],[Inflation_N]]</f>
        <v>0.88006400340983737</v>
      </c>
      <c r="AR2" s="24">
        <v>828.26</v>
      </c>
      <c r="AS2" s="33">
        <f>MIN(Table11[Precipitation (mm)])</f>
        <v>582.9</v>
      </c>
      <c r="AT2" s="33">
        <f>MAX(Table11[Precipitation (mm)])</f>
        <v>1212.48</v>
      </c>
      <c r="AU2" s="34">
        <f>(Table11[[#This Row],[Precipitation (mm)]]-Table11[[#This Row],[Min]])/(Table11[[#This Row],[Max]]-Table11[[#This Row],[Min]])</f>
        <v>0.38972013088090474</v>
      </c>
    </row>
    <row r="3" spans="1:47" x14ac:dyDescent="0.3">
      <c r="A3" s="25">
        <f>518.6*1000</f>
        <v>518600</v>
      </c>
      <c r="B3">
        <f>MIN(Table2[Consumption])</f>
        <v>12000</v>
      </c>
      <c r="C3" s="25">
        <f>MAX(Table2[Consumption])</f>
        <v>579900</v>
      </c>
      <c r="D3" s="35">
        <f>(Table2[[#This Row],[Consumption]]-Table2[[#This Row],[Min]])/(Table2[[#This Row],[Max]]-Table2[[#This Row],[Min]])</f>
        <v>0.89205846099665431</v>
      </c>
      <c r="F3" s="25">
        <f>1125.3*1000</f>
        <v>1125300</v>
      </c>
      <c r="G3" s="25">
        <f>MIN(Table3[Production])</f>
        <v>100000</v>
      </c>
      <c r="H3" s="25">
        <f>MAX(Table3[Production])</f>
        <v>1789900</v>
      </c>
      <c r="I3" s="35">
        <f>(Table3[[#This Row],[Production]]-Table3[[#This Row],[Min]])/(Table3[[#This Row],[Max]]-Table3[[#This Row],[Min]])</f>
        <v>0.6067222912598379</v>
      </c>
      <c r="K3" s="25">
        <f>420.7*1000</f>
        <v>420700</v>
      </c>
      <c r="L3" s="25">
        <f>MIN(Table4[Exportation])</f>
        <v>19600</v>
      </c>
      <c r="M3" s="25">
        <f>MAX(Table4[Exportation])</f>
        <v>468100</v>
      </c>
      <c r="N3" s="35">
        <f>(Table4[[#This Row],[Exportation]]-Table4[[#This Row],[Min]])/(Table4[[#This Row],[Max]]-Table4[[#This Row],[Min]])</f>
        <v>0.89431438127090301</v>
      </c>
      <c r="P3" s="25">
        <f>151.9*1000</f>
        <v>151900</v>
      </c>
      <c r="Q3" s="25">
        <f>MIN(Table5[Importation])</f>
        <v>0</v>
      </c>
      <c r="R3" s="25">
        <f>MAX(Table5[Importation])</f>
        <v>151900</v>
      </c>
      <c r="S3" s="35">
        <f>(Table5[[#This Row],[Importation]]-Table5[[#This Row],[Min]])/(Table5[[#This Row],[Max]]-Table5[[#This Row],[Min]])</f>
        <v>1</v>
      </c>
      <c r="T3" s="1">
        <f>1-Table5[[#This Row],[Importation_N]]</f>
        <v>0</v>
      </c>
      <c r="V3" s="26">
        <f>458.2*1000</f>
        <v>458200</v>
      </c>
      <c r="W3" s="26">
        <f>MIN(Table6[Production_Olives])</f>
        <v>15600</v>
      </c>
      <c r="X3" s="26">
        <f>MAX(Table6[Production_Olives])</f>
        <v>659300</v>
      </c>
      <c r="Y3" s="39">
        <f>(Table6[[#This Row],[Production_Olives]]-Table6[[#This Row],[Min]])/(Table6[[#This Row],[Max]]-Table6[[#This Row],[Min]])</f>
        <v>0.68758738542799436</v>
      </c>
      <c r="AA3" s="13">
        <v>0.02</v>
      </c>
      <c r="AB3" s="13">
        <f>MIN(Table8[PIB])</f>
        <v>-9.1999999999999998E-2</v>
      </c>
      <c r="AC3" s="13">
        <f>MAX(Table8[PIB])</f>
        <v>8.8999999999999996E-2</v>
      </c>
      <c r="AD3" s="43">
        <f>(Table8[[#This Row],[PIB]]-Table8[[#This Row],[Min]])/(Table8[[#This Row],[Max]]-Table8[[#This Row],[Min]])</f>
        <v>0.61878453038674042</v>
      </c>
      <c r="AF3" s="13">
        <v>7.0000000000000001E-3</v>
      </c>
      <c r="AG3" s="13">
        <f>MIN(Table9[Inflation])</f>
        <v>-1.2E-2</v>
      </c>
      <c r="AH3" s="13">
        <f>MAX(Table9[Inflation])</f>
        <v>9.6000000000000002E-2</v>
      </c>
      <c r="AI3" s="43">
        <f>(Table9[[#This Row],[Inflation]]-Table9[[#This Row],[Min]])/(Table9[[#This Row],[Max]]-Table9[[#This Row],[Min]])</f>
        <v>0.17592592592592593</v>
      </c>
      <c r="AJ3" s="45">
        <f>1-Table9[[#This Row],[Inflation_N]]</f>
        <v>0.82407407407407407</v>
      </c>
      <c r="AL3" s="25">
        <v>184.9668501610679</v>
      </c>
      <c r="AM3" s="25">
        <f>MIN(Table10[PriceAVG])</f>
        <v>164.12043561896019</v>
      </c>
      <c r="AN3" s="25">
        <f>MAX(Table10[PriceAVG])</f>
        <v>840.98425196850394</v>
      </c>
      <c r="AO3" s="35">
        <f>(Table10[[#This Row],[PriceAVG]]-Table10[[#This Row],[Min]])/(Table10[[#This Row],[Max]]-Table10[[#This Row],[Min]])</f>
        <v>3.0798535892399177E-2</v>
      </c>
      <c r="AP3" s="1">
        <f>1-Table10[[#This Row],[Inflation_N]]</f>
        <v>0.96920146410760077</v>
      </c>
      <c r="AR3" s="25">
        <v>620.44000000000005</v>
      </c>
      <c r="AS3" s="25">
        <f>MIN(Table11[Precipitation (mm)])</f>
        <v>582.9</v>
      </c>
      <c r="AT3" s="25">
        <f>MAX(Table11[Precipitation (mm)])</f>
        <v>1212.48</v>
      </c>
      <c r="AU3" s="35">
        <f>(Table11[[#This Row],[Precipitation (mm)]]-Table11[[#This Row],[Min]])/(Table11[[#This Row],[Max]]-Table11[[#This Row],[Min]])</f>
        <v>5.9627052955939001E-2</v>
      </c>
    </row>
    <row r="4" spans="1:47" x14ac:dyDescent="0.3">
      <c r="A4" s="24">
        <f>541.1*1000</f>
        <v>541100</v>
      </c>
      <c r="B4">
        <f>MIN(Table2[Consumption])</f>
        <v>12000</v>
      </c>
      <c r="C4" s="25">
        <f>MAX(Table2[Consumption])</f>
        <v>579900</v>
      </c>
      <c r="D4" s="35">
        <f>(Table2[[#This Row],[Consumption]]-Table2[[#This Row],[Min]])/(Table2[[#This Row],[Max]]-Table2[[#This Row],[Min]])</f>
        <v>0.93167811234372244</v>
      </c>
      <c r="F4" s="24">
        <f>1389*1000</f>
        <v>1389000</v>
      </c>
      <c r="G4" s="24">
        <f>MIN(Table3[Production])</f>
        <v>100000</v>
      </c>
      <c r="H4" s="24">
        <f>MAX(Table3[Production])</f>
        <v>1789900</v>
      </c>
      <c r="I4" s="35">
        <f>(Table3[[#This Row],[Production]]-Table3[[#This Row],[Min]])/(Table3[[#This Row],[Max]]-Table3[[#This Row],[Min]])</f>
        <v>0.76276702763477133</v>
      </c>
      <c r="K4" s="24">
        <f>464.6*1000</f>
        <v>464600</v>
      </c>
      <c r="L4" s="25">
        <f>MIN(Table4[Exportation])</f>
        <v>19600</v>
      </c>
      <c r="M4" s="25">
        <f>MAX(Table4[Exportation])</f>
        <v>468100</v>
      </c>
      <c r="N4" s="35">
        <f>(Table4[[#This Row],[Exportation]]-Table4[[#This Row],[Min]])/(Table4[[#This Row],[Max]]-Table4[[#This Row],[Min]])</f>
        <v>0.99219620958751398</v>
      </c>
      <c r="P4" s="24">
        <f>100.7*1000</f>
        <v>100700</v>
      </c>
      <c r="Q4" s="25">
        <f>MIN(Table5[Importation])</f>
        <v>0</v>
      </c>
      <c r="R4" s="25">
        <f>MAX(Table5[Importation])</f>
        <v>151900</v>
      </c>
      <c r="S4" s="35">
        <f>(Table5[[#This Row],[Importation]]-Table5[[#This Row],[Min]])/(Table5[[#This Row],[Max]]-Table5[[#This Row],[Min]])</f>
        <v>0.66293614219881503</v>
      </c>
      <c r="T4" s="1">
        <f>1-Table5[[#This Row],[Importation_N]]</f>
        <v>0.33706385780118497</v>
      </c>
      <c r="V4" s="24">
        <f>546.3*1000</f>
        <v>546300</v>
      </c>
      <c r="W4" s="26">
        <f>MIN(Table6[Production_Olives])</f>
        <v>15600</v>
      </c>
      <c r="X4" s="26">
        <f>MAX(Table6[Production_Olives])</f>
        <v>659300</v>
      </c>
      <c r="Y4" s="39">
        <f>(Table6[[#This Row],[Production_Olives]]-Table6[[#This Row],[Min]])/(Table6[[#This Row],[Max]]-Table6[[#This Row],[Min]])</f>
        <v>0.82445238465123505</v>
      </c>
      <c r="AA4" s="12">
        <v>-0.03</v>
      </c>
      <c r="AB4" s="13">
        <f>MIN(Table8[PIB])</f>
        <v>-9.1999999999999998E-2</v>
      </c>
      <c r="AC4" s="13">
        <f>MAX(Table8[PIB])</f>
        <v>8.8999999999999996E-2</v>
      </c>
      <c r="AD4" s="43">
        <f>(Table8[[#This Row],[PIB]]-Table8[[#This Row],[Min]])/(Table8[[#This Row],[Max]]-Table8[[#This Row],[Min]])</f>
        <v>0.34254143646408841</v>
      </c>
      <c r="AF4" s="12">
        <v>-3.0000000000000001E-3</v>
      </c>
      <c r="AG4" s="13">
        <f>MIN(Table9[Inflation])</f>
        <v>-1.2E-2</v>
      </c>
      <c r="AH4" s="13">
        <f>MAX(Table9[Inflation])</f>
        <v>9.6000000000000002E-2</v>
      </c>
      <c r="AI4" s="43">
        <f>(Table9[[#This Row],[Inflation]]-Table9[[#This Row],[Min]])/(Table9[[#This Row],[Max]]-Table9[[#This Row],[Min]])</f>
        <v>8.3333333333333343E-2</v>
      </c>
      <c r="AJ4" s="45">
        <f>1-Table9[[#This Row],[Inflation_N]]</f>
        <v>0.91666666666666663</v>
      </c>
      <c r="AL4" s="24">
        <v>164.12043561896019</v>
      </c>
      <c r="AM4" s="25">
        <f>MIN(Table10[PriceAVG])</f>
        <v>164.12043561896019</v>
      </c>
      <c r="AN4" s="25">
        <f>MAX(Table10[PriceAVG])</f>
        <v>840.98425196850394</v>
      </c>
      <c r="AO4" s="35">
        <f>(Table10[[#This Row],[PriceAVG]]-Table10[[#This Row],[Min]])/(Table10[[#This Row],[Max]]-Table10[[#This Row],[Min]])</f>
        <v>0</v>
      </c>
      <c r="AP4" s="1">
        <f>1-Table10[[#This Row],[Inflation_N]]</f>
        <v>1</v>
      </c>
      <c r="AR4" s="24">
        <v>675.41</v>
      </c>
      <c r="AS4" s="25">
        <f>MIN(Table11[Precipitation (mm)])</f>
        <v>582.9</v>
      </c>
      <c r="AT4" s="25">
        <f>MAX(Table11[Precipitation (mm)])</f>
        <v>1212.48</v>
      </c>
      <c r="AU4" s="35">
        <f>(Table11[[#This Row],[Precipitation (mm)]]-Table11[[#This Row],[Min]])/(Table11[[#This Row],[Max]]-Table11[[#This Row],[Min]])</f>
        <v>0.14693922932748815</v>
      </c>
    </row>
    <row r="5" spans="1:47" x14ac:dyDescent="0.3">
      <c r="A5" s="25">
        <f>579.9*1000</f>
        <v>579900</v>
      </c>
      <c r="B5">
        <f>MIN(Table2[Consumption])</f>
        <v>12000</v>
      </c>
      <c r="C5" s="25">
        <f>MAX(Table2[Consumption])</f>
        <v>579900</v>
      </c>
      <c r="D5" s="35">
        <f>(Table2[[#This Row],[Consumption]]-Table2[[#This Row],[Min]])/(Table2[[#This Row],[Max]]-Table2[[#This Row],[Min]])</f>
        <v>1</v>
      </c>
      <c r="F5" s="25">
        <f>1493*1000</f>
        <v>1493000</v>
      </c>
      <c r="G5" s="25">
        <f>MIN(Table3[Production])</f>
        <v>100000</v>
      </c>
      <c r="H5" s="25">
        <f>MAX(Table3[Production])</f>
        <v>1789900</v>
      </c>
      <c r="I5" s="35">
        <f>(Table3[[#This Row],[Production]]-Table3[[#This Row],[Min]])/(Table3[[#This Row],[Max]]-Table3[[#This Row],[Min]])</f>
        <v>0.82430913071779399</v>
      </c>
      <c r="K5" s="25">
        <f>468.1*1000</f>
        <v>468100</v>
      </c>
      <c r="L5" s="25">
        <f>MIN(Table4[Exportation])</f>
        <v>19600</v>
      </c>
      <c r="M5" s="25">
        <f>MAX(Table4[Exportation])</f>
        <v>468100</v>
      </c>
      <c r="N5" s="35">
        <f>(Table4[[#This Row],[Exportation]]-Table4[[#This Row],[Min]])/(Table4[[#This Row],[Max]]-Table4[[#This Row],[Min]])</f>
        <v>1</v>
      </c>
      <c r="P5" s="25">
        <f>85.6*1000</f>
        <v>85600</v>
      </c>
      <c r="Q5" s="25">
        <f>MIN(Table5[Importation])</f>
        <v>0</v>
      </c>
      <c r="R5" s="25">
        <f>MAX(Table5[Importation])</f>
        <v>151900</v>
      </c>
      <c r="S5" s="35">
        <f>(Table5[[#This Row],[Importation]]-Table5[[#This Row],[Min]])/(Table5[[#This Row],[Max]]-Table5[[#This Row],[Min]])</f>
        <v>0.56352863726135616</v>
      </c>
      <c r="T5" s="1">
        <f>1-Table5[[#This Row],[Importation_N]]</f>
        <v>0.43647136273864384</v>
      </c>
      <c r="V5" s="25">
        <f>659.3*1000</f>
        <v>659300</v>
      </c>
      <c r="W5" s="26">
        <f>MIN(Table6[Production_Olives])</f>
        <v>15600</v>
      </c>
      <c r="X5" s="26">
        <f>MAX(Table6[Production_Olives])</f>
        <v>659300</v>
      </c>
      <c r="Y5" s="39">
        <f>(Table6[[#This Row],[Production_Olives]]-Table6[[#This Row],[Min]])/(Table6[[#This Row],[Max]]-Table6[[#This Row],[Min]])</f>
        <v>1</v>
      </c>
      <c r="AA5" s="13">
        <v>5.0999999999999997E-2</v>
      </c>
      <c r="AB5" s="13">
        <f>MIN(Table8[PIB])</f>
        <v>-9.1999999999999998E-2</v>
      </c>
      <c r="AC5" s="13">
        <f>MAX(Table8[PIB])</f>
        <v>8.8999999999999996E-2</v>
      </c>
      <c r="AD5" s="43">
        <f>(Table8[[#This Row],[PIB]]-Table8[[#This Row],[Min]])/(Table8[[#This Row],[Max]]-Table8[[#This Row],[Min]])</f>
        <v>0.79005524861878451</v>
      </c>
      <c r="AF5" s="13">
        <v>3.1E-2</v>
      </c>
      <c r="AG5" s="13">
        <f>MIN(Table9[Inflation])</f>
        <v>-1.2E-2</v>
      </c>
      <c r="AH5" s="13">
        <f>MAX(Table9[Inflation])</f>
        <v>9.6000000000000002E-2</v>
      </c>
      <c r="AI5" s="43">
        <f>(Table9[[#This Row],[Inflation]]-Table9[[#This Row],[Min]])/(Table9[[#This Row],[Max]]-Table9[[#This Row],[Min]])</f>
        <v>0.39814814814814814</v>
      </c>
      <c r="AJ5" s="45">
        <f>1-Table9[[#This Row],[Inflation_N]]</f>
        <v>0.60185185185185186</v>
      </c>
      <c r="AL5" s="25">
        <v>253.75594594594571</v>
      </c>
      <c r="AM5" s="25">
        <f>MIN(Table10[PriceAVG])</f>
        <v>164.12043561896019</v>
      </c>
      <c r="AN5" s="25">
        <f>MAX(Table10[PriceAVG])</f>
        <v>840.98425196850394</v>
      </c>
      <c r="AO5" s="35">
        <f>(Table10[[#This Row],[PriceAVG]]-Table10[[#This Row],[Min]])/(Table10[[#This Row],[Max]]-Table10[[#This Row],[Min]])</f>
        <v>0.13242768805460309</v>
      </c>
      <c r="AP5" s="1">
        <f>1-Table10[[#This Row],[Inflation_N]]</f>
        <v>0.86757231194539686</v>
      </c>
      <c r="AR5" s="25">
        <v>661.64</v>
      </c>
      <c r="AS5" s="25">
        <f>MIN(Table11[Precipitation (mm)])</f>
        <v>582.9</v>
      </c>
      <c r="AT5" s="25">
        <f>MAX(Table11[Precipitation (mm)])</f>
        <v>1212.48</v>
      </c>
      <c r="AU5" s="35">
        <f>(Table11[[#This Row],[Precipitation (mm)]]-Table11[[#This Row],[Min]])/(Table11[[#This Row],[Max]]-Table11[[#This Row],[Min]])</f>
        <v>0.12506750532100766</v>
      </c>
    </row>
    <row r="6" spans="1:47" x14ac:dyDescent="0.3">
      <c r="A6" s="24">
        <f>363.2*1000</f>
        <v>363200</v>
      </c>
      <c r="B6">
        <f>MIN(Table2[Consumption])</f>
        <v>12000</v>
      </c>
      <c r="C6" s="25">
        <f>MAX(Table2[Consumption])</f>
        <v>579900</v>
      </c>
      <c r="D6" s="35">
        <f>(Table2[[#This Row],[Consumption]]-Table2[[#This Row],[Min]])/(Table2[[#This Row],[Max]]-Table2[[#This Row],[Min]])</f>
        <v>0.61841873569290373</v>
      </c>
      <c r="F6" s="24">
        <f>665.8*1000</f>
        <v>665800</v>
      </c>
      <c r="G6" s="24">
        <f>MIN(Table3[Production])</f>
        <v>100000</v>
      </c>
      <c r="H6" s="24">
        <f>MAX(Table3[Production])</f>
        <v>1789900</v>
      </c>
      <c r="I6" s="35">
        <f>(Table3[[#This Row],[Production]]-Table3[[#This Row],[Min]])/(Table3[[#This Row],[Max]]-Table3[[#This Row],[Min]])</f>
        <v>0.3348127108112906</v>
      </c>
      <c r="K6" s="24">
        <f>316.5*1000</f>
        <v>316500</v>
      </c>
      <c r="L6" s="25">
        <f>MIN(Table4[Exportation])</f>
        <v>19600</v>
      </c>
      <c r="M6" s="25">
        <f>MAX(Table4[Exportation])</f>
        <v>468100</v>
      </c>
      <c r="N6" s="35">
        <f>(Table4[[#This Row],[Exportation]]-Table4[[#This Row],[Min]])/(Table4[[#This Row],[Max]]-Table4[[#This Row],[Min]])</f>
        <v>0.66198439241917506</v>
      </c>
      <c r="P6" s="24">
        <f>97.8*1000</f>
        <v>97800</v>
      </c>
      <c r="Q6" s="25">
        <f>MIN(Table5[Importation])</f>
        <v>0</v>
      </c>
      <c r="R6" s="25">
        <f>MAX(Table5[Importation])</f>
        <v>151900</v>
      </c>
      <c r="S6" s="35">
        <f>(Table5[[#This Row],[Importation]]-Table5[[#This Row],[Min]])/(Table5[[#This Row],[Max]]-Table5[[#This Row],[Min]])</f>
        <v>0.64384463462804475</v>
      </c>
      <c r="T6" s="1">
        <f>1-Table5[[#This Row],[Importation_N]]</f>
        <v>0.35615536537195525</v>
      </c>
      <c r="V6" s="24">
        <f>414.1*1000</f>
        <v>414100</v>
      </c>
      <c r="W6" s="26">
        <f>MIN(Table6[Production_Olives])</f>
        <v>15600</v>
      </c>
      <c r="X6" s="26">
        <f>MAX(Table6[Production_Olives])</f>
        <v>659300</v>
      </c>
      <c r="Y6" s="39">
        <f>(Table6[[#This Row],[Production_Olives]]-Table6[[#This Row],[Min]])/(Table6[[#This Row],[Max]]-Table6[[#This Row],[Min]])</f>
        <v>0.61907720988037906</v>
      </c>
      <c r="AA6" s="12">
        <v>5.5E-2</v>
      </c>
      <c r="AB6" s="13">
        <f>MIN(Table8[PIB])</f>
        <v>-9.1999999999999998E-2</v>
      </c>
      <c r="AC6" s="13">
        <f>MAX(Table8[PIB])</f>
        <v>8.8999999999999996E-2</v>
      </c>
      <c r="AD6" s="43">
        <f>(Table8[[#This Row],[PIB]]-Table8[[#This Row],[Min]])/(Table8[[#This Row],[Max]]-Table8[[#This Row],[Min]])</f>
        <v>0.81215469613259672</v>
      </c>
      <c r="AF6" s="12">
        <v>8.4000000000000005E-2</v>
      </c>
      <c r="AG6" s="13">
        <f>MIN(Table9[Inflation])</f>
        <v>-1.2E-2</v>
      </c>
      <c r="AH6" s="13">
        <f>MAX(Table9[Inflation])</f>
        <v>9.6000000000000002E-2</v>
      </c>
      <c r="AI6" s="43">
        <f>(Table9[[#This Row],[Inflation]]-Table9[[#This Row],[Min]])/(Table9[[#This Row],[Max]]-Table9[[#This Row],[Min]])</f>
        <v>0.88888888888888895</v>
      </c>
      <c r="AJ6" s="45">
        <f>1-Table9[[#This Row],[Inflation_N]]</f>
        <v>0.11111111111111105</v>
      </c>
      <c r="AL6" s="24">
        <v>341.36704191616792</v>
      </c>
      <c r="AM6" s="25">
        <f>MIN(Table10[PriceAVG])</f>
        <v>164.12043561896019</v>
      </c>
      <c r="AN6" s="25">
        <f>MAX(Table10[PriceAVG])</f>
        <v>840.98425196850394</v>
      </c>
      <c r="AO6" s="35">
        <f>(Table10[[#This Row],[PriceAVG]]-Table10[[#This Row],[Min]])/(Table10[[#This Row],[Max]]-Table10[[#This Row],[Min]])</f>
        <v>0.2618645021581042</v>
      </c>
      <c r="AP6" s="1">
        <f>1-Table10[[#This Row],[Inflation_N]]</f>
        <v>0.7381354978418958</v>
      </c>
      <c r="AR6" s="24">
        <v>638.66</v>
      </c>
      <c r="AS6" s="25">
        <f>MIN(Table11[Precipitation (mm)])</f>
        <v>582.9</v>
      </c>
      <c r="AT6" s="25">
        <f>MAX(Table11[Precipitation (mm)])</f>
        <v>1212.48</v>
      </c>
      <c r="AU6" s="35">
        <f>(Table11[[#This Row],[Precipitation (mm)]]-Table11[[#This Row],[Min]])/(Table11[[#This Row],[Max]]-Table11[[#This Row],[Min]])</f>
        <v>8.856698116204452E-2</v>
      </c>
    </row>
    <row r="7" spans="1:47" x14ac:dyDescent="0.3">
      <c r="A7" s="25">
        <f>402.3*1000</f>
        <v>402300</v>
      </c>
      <c r="B7">
        <f>MIN(Table2[Consumption])</f>
        <v>12000</v>
      </c>
      <c r="C7" s="25">
        <f>MAX(Table2[Consumption])</f>
        <v>579900</v>
      </c>
      <c r="D7" s="35">
        <f>(Table2[[#This Row],[Consumption]]-Table2[[#This Row],[Min]])/(Table2[[#This Row],[Max]]-Table2[[#This Row],[Min]])</f>
        <v>0.68726888536714215</v>
      </c>
      <c r="F7" s="25">
        <f>854*1000</f>
        <v>854000</v>
      </c>
      <c r="G7" s="25">
        <f>MIN(Table3[Production])</f>
        <v>100000</v>
      </c>
      <c r="H7" s="25">
        <f>MAX(Table3[Production])</f>
        <v>1789900</v>
      </c>
      <c r="I7" s="35">
        <f>(Table3[[#This Row],[Production]]-Table3[[#This Row],[Min]])/(Table3[[#This Row],[Max]]-Table3[[#This Row],[Min]])</f>
        <v>0.44618024735191431</v>
      </c>
      <c r="K7" s="25">
        <f>332.4*1000</f>
        <v>332400</v>
      </c>
      <c r="L7" s="25">
        <f>MIN(Table4[Exportation])</f>
        <v>19600</v>
      </c>
      <c r="M7" s="25">
        <f>MAX(Table4[Exportation])</f>
        <v>468100</v>
      </c>
      <c r="N7" s="35">
        <f>(Table4[[#This Row],[Exportation]]-Table4[[#This Row],[Min]])/(Table4[[#This Row],[Max]]-Table4[[#This Row],[Min]])</f>
        <v>0.6974358974358974</v>
      </c>
      <c r="P7" s="25">
        <f>108.6*1000</f>
        <v>108600</v>
      </c>
      <c r="Q7" s="25">
        <f>MIN(Table5[Importation])</f>
        <v>0</v>
      </c>
      <c r="R7" s="25">
        <f>MAX(Table5[Importation])</f>
        <v>151900</v>
      </c>
      <c r="S7" s="35">
        <f>(Table5[[#This Row],[Importation]]-Table5[[#This Row],[Min]])/(Table5[[#This Row],[Max]]-Table5[[#This Row],[Min]])</f>
        <v>0.71494404213298224</v>
      </c>
      <c r="T7" s="1">
        <f>1-Table5[[#This Row],[Importation_N]]</f>
        <v>0.28505595786701776</v>
      </c>
      <c r="V7" s="25">
        <f>407.4*1000</f>
        <v>407400</v>
      </c>
      <c r="W7" s="26">
        <f>MIN(Table6[Production_Olives])</f>
        <v>15600</v>
      </c>
      <c r="X7" s="26">
        <f>MAX(Table6[Production_Olives])</f>
        <v>659300</v>
      </c>
      <c r="Y7" s="39">
        <f>(Table6[[#This Row],[Production_Olives]]-Table6[[#This Row],[Min]])/(Table6[[#This Row],[Max]]-Table6[[#This Row],[Min]])</f>
        <v>0.60866863445704522</v>
      </c>
      <c r="AA7" s="13">
        <v>2.8000000000000001E-2</v>
      </c>
      <c r="AB7" s="13">
        <f>MIN(Table8[PIB])</f>
        <v>-9.1999999999999998E-2</v>
      </c>
      <c r="AC7" s="13">
        <f>MAX(Table8[PIB])</f>
        <v>8.8999999999999996E-2</v>
      </c>
      <c r="AD7" s="43">
        <f>(Table8[[#This Row],[PIB]]-Table8[[#This Row],[Min]])/(Table8[[#This Row],[Max]]-Table8[[#This Row],[Min]])</f>
        <v>0.66298342541436461</v>
      </c>
      <c r="AF7" s="13">
        <v>3.5000000000000003E-2</v>
      </c>
      <c r="AG7" s="13">
        <f>MIN(Table9[Inflation])</f>
        <v>-1.2E-2</v>
      </c>
      <c r="AH7" s="13">
        <f>MAX(Table9[Inflation])</f>
        <v>9.6000000000000002E-2</v>
      </c>
      <c r="AI7" s="43">
        <f>(Table9[[#This Row],[Inflation]]-Table9[[#This Row],[Min]])/(Table9[[#This Row],[Max]]-Table9[[#This Row],[Min]])</f>
        <v>0.43518518518518517</v>
      </c>
      <c r="AJ7" s="45">
        <f>1-Table9[[#This Row],[Inflation_N]]</f>
        <v>0.56481481481481488</v>
      </c>
      <c r="AL7" s="25">
        <v>561.969357311321</v>
      </c>
      <c r="AM7" s="25">
        <f>MIN(Table10[PriceAVG])</f>
        <v>164.12043561896019</v>
      </c>
      <c r="AN7" s="25">
        <f>MAX(Table10[PriceAVG])</f>
        <v>840.98425196850394</v>
      </c>
      <c r="AO7" s="35">
        <f>(Table10[[#This Row],[PriceAVG]]-Table10[[#This Row],[Min]])/(Table10[[#This Row],[Max]]-Table10[[#This Row],[Min]])</f>
        <v>0.58778281846714198</v>
      </c>
      <c r="AP7" s="1">
        <f>1-Table10[[#This Row],[Inflation_N]]</f>
        <v>0.41221718153285802</v>
      </c>
      <c r="AR7" s="25">
        <v>582.9</v>
      </c>
      <c r="AS7" s="25">
        <f>MIN(Table11[Precipitation (mm)])</f>
        <v>582.9</v>
      </c>
      <c r="AT7" s="25">
        <f>MAX(Table11[Precipitation (mm)])</f>
        <v>1212.48</v>
      </c>
      <c r="AU7" s="35">
        <f>(Table11[[#This Row],[Precipitation (mm)]]-Table11[[#This Row],[Min]])/(Table11[[#This Row],[Max]]-Table11[[#This Row],[Min]])</f>
        <v>0</v>
      </c>
    </row>
    <row r="8" spans="1:47" x14ac:dyDescent="0.3">
      <c r="A8" s="24">
        <f>460*1000</f>
        <v>460000</v>
      </c>
      <c r="B8">
        <f>MIN(Table2[Consumption])</f>
        <v>12000</v>
      </c>
      <c r="C8" s="25">
        <f>MAX(Table2[Consumption])</f>
        <v>579900</v>
      </c>
      <c r="D8" s="35">
        <f>(Table2[[#This Row],[Consumption]]-Table2[[#This Row],[Min]])/(Table2[[#This Row],[Max]]-Table2[[#This Row],[Min]])</f>
        <v>0.78887128015495689</v>
      </c>
      <c r="F8" s="24">
        <f>1289.9*1000</f>
        <v>1289900</v>
      </c>
      <c r="G8" s="24">
        <f>MIN(Table3[Production])</f>
        <v>100000</v>
      </c>
      <c r="H8" s="24">
        <f>MAX(Table3[Production])</f>
        <v>1789900</v>
      </c>
      <c r="I8" s="35">
        <f>(Table3[[#This Row],[Production]]-Table3[[#This Row],[Min]])/(Table3[[#This Row],[Max]]-Table3[[#This Row],[Min]])</f>
        <v>0.7041245044085449</v>
      </c>
      <c r="K8" s="24">
        <f>415.5*1000</f>
        <v>415500</v>
      </c>
      <c r="L8" s="25">
        <f>MIN(Table4[Exportation])</f>
        <v>19600</v>
      </c>
      <c r="M8" s="25">
        <f>MAX(Table4[Exportation])</f>
        <v>468100</v>
      </c>
      <c r="N8" s="35">
        <f>(Table4[[#This Row],[Exportation]]-Table4[[#This Row],[Min]])/(Table4[[#This Row],[Max]]-Table4[[#This Row],[Min]])</f>
        <v>0.88272017837235228</v>
      </c>
      <c r="P8" s="24">
        <f>92.8*1000</f>
        <v>92800</v>
      </c>
      <c r="Q8" s="25">
        <f>MIN(Table5[Importation])</f>
        <v>0</v>
      </c>
      <c r="R8" s="25">
        <f>MAX(Table5[Importation])</f>
        <v>151900</v>
      </c>
      <c r="S8" s="35">
        <f>(Table5[[#This Row],[Importation]]-Table5[[#This Row],[Min]])/(Table5[[#This Row],[Max]]-Table5[[#This Row],[Min]])</f>
        <v>0.61092824226464781</v>
      </c>
      <c r="T8" s="1">
        <f>1-Table5[[#This Row],[Importation_N]]</f>
        <v>0.38907175773535219</v>
      </c>
      <c r="V8" s="24">
        <f>468.3*1000</f>
        <v>468300</v>
      </c>
      <c r="W8" s="26">
        <f>MIN(Table6[Production_Olives])</f>
        <v>15600</v>
      </c>
      <c r="X8" s="26">
        <f>MAX(Table6[Production_Olives])</f>
        <v>659300</v>
      </c>
      <c r="Y8" s="39">
        <f>(Table6[[#This Row],[Production_Olives]]-Table6[[#This Row],[Min]])/(Table6[[#This Row],[Max]]-Table6[[#This Row],[Min]])</f>
        <v>0.70327792449899018</v>
      </c>
      <c r="AA8" s="12">
        <v>3.2000000000000001E-2</v>
      </c>
      <c r="AB8" s="13">
        <f>MIN(Table8[PIB])</f>
        <v>-9.1999999999999998E-2</v>
      </c>
      <c r="AC8" s="13">
        <f>MAX(Table8[PIB])</f>
        <v>8.8999999999999996E-2</v>
      </c>
      <c r="AD8" s="43">
        <f>(Table8[[#This Row],[PIB]]-Table8[[#This Row],[Min]])/(Table8[[#This Row],[Max]]-Table8[[#This Row],[Min]])</f>
        <v>0.68508287292817682</v>
      </c>
      <c r="AF8" s="12">
        <v>2.8000000000000001E-2</v>
      </c>
      <c r="AG8" s="13">
        <f>MIN(Table9[Inflation])</f>
        <v>-1.2E-2</v>
      </c>
      <c r="AH8" s="13">
        <f>MAX(Table9[Inflation])</f>
        <v>9.6000000000000002E-2</v>
      </c>
      <c r="AI8" s="43">
        <f>(Table9[[#This Row],[Inflation]]-Table9[[#This Row],[Min]])/(Table9[[#This Row],[Max]]-Table9[[#This Row],[Min]])</f>
        <v>0.37037037037037041</v>
      </c>
      <c r="AJ8" s="45">
        <f>1-Table9[[#This Row],[Inflation_N]]</f>
        <v>0.62962962962962954</v>
      </c>
      <c r="AL8" s="24">
        <v>630.10107572115385</v>
      </c>
      <c r="AM8" s="25">
        <f>MIN(Table10[PriceAVG])</f>
        <v>164.12043561896019</v>
      </c>
      <c r="AN8" s="25">
        <f>MAX(Table10[PriceAVG])</f>
        <v>840.98425196850394</v>
      </c>
      <c r="AO8" s="35">
        <f>(Table10[[#This Row],[PriceAVG]]-Table10[[#This Row],[Min]])/(Table10[[#This Row],[Max]]-Table10[[#This Row],[Min]])</f>
        <v>0.68844075993796883</v>
      </c>
      <c r="AP8" s="1">
        <f>1-Table10[[#This Row],[Inflation_N]]</f>
        <v>0.31155924006203117</v>
      </c>
      <c r="AR8" s="24">
        <v>705.35</v>
      </c>
      <c r="AS8" s="25">
        <f>MIN(Table11[Precipitation (mm)])</f>
        <v>582.9</v>
      </c>
      <c r="AT8" s="25">
        <f>MAX(Table11[Precipitation (mm)])</f>
        <v>1212.48</v>
      </c>
      <c r="AU8" s="35">
        <f>(Table11[[#This Row],[Precipitation (mm)]]-Table11[[#This Row],[Min]])/(Table11[[#This Row],[Max]]-Table11[[#This Row],[Min]])</f>
        <v>0.19449474252676394</v>
      </c>
    </row>
    <row r="9" spans="1:47" x14ac:dyDescent="0.3">
      <c r="A9" s="25">
        <f>54.4*1000</f>
        <v>54400</v>
      </c>
      <c r="B9">
        <f>MIN(Table2[Consumption])</f>
        <v>12000</v>
      </c>
      <c r="C9" s="25">
        <f>MAX(Table2[Consumption])</f>
        <v>579900</v>
      </c>
      <c r="D9" s="35">
        <f>(Table2[[#This Row],[Consumption]]-Table2[[#This Row],[Min]])/(Table2[[#This Row],[Max]]-Table2[[#This Row],[Min]])</f>
        <v>7.466103187180842E-2</v>
      </c>
      <c r="F9" s="25">
        <f>100.3*1000</f>
        <v>100300</v>
      </c>
      <c r="G9" s="25">
        <f>MIN(Table3[Production])</f>
        <v>100000</v>
      </c>
      <c r="H9" s="25">
        <f>MAX(Table3[Production])</f>
        <v>1789900</v>
      </c>
      <c r="I9" s="35">
        <f>(Table3[[#This Row],[Production]]-Table3[[#This Row],[Min]])/(Table3[[#This Row],[Max]]-Table3[[#This Row],[Min]])</f>
        <v>1.7752529735487306E-4</v>
      </c>
      <c r="K9" s="25">
        <f>64.9*1000</f>
        <v>64900.000000000007</v>
      </c>
      <c r="L9" s="25">
        <f>MIN(Table4[Exportation])</f>
        <v>19600</v>
      </c>
      <c r="M9" s="25">
        <f>MAX(Table4[Exportation])</f>
        <v>468100</v>
      </c>
      <c r="N9" s="35">
        <f>(Table4[[#This Row],[Exportation]]-Table4[[#This Row],[Min]])/(Table4[[#This Row],[Max]]-Table4[[#This Row],[Min]])</f>
        <v>0.10100334448160536</v>
      </c>
      <c r="P9" s="25">
        <f>0.7*1000</f>
        <v>700</v>
      </c>
      <c r="Q9" s="25">
        <f>MIN(Table5[Importation])</f>
        <v>0</v>
      </c>
      <c r="R9" s="25">
        <f>MAX(Table5[Importation])</f>
        <v>151900</v>
      </c>
      <c r="S9" s="35">
        <f>(Table5[[#This Row],[Importation]]-Table5[[#This Row],[Min]])/(Table5[[#This Row],[Max]]-Table5[[#This Row],[Min]])</f>
        <v>4.608294930875576E-3</v>
      </c>
      <c r="T9" s="1">
        <f>1-Table5[[#This Row],[Importation_N]]</f>
        <v>0.99539170506912444</v>
      </c>
      <c r="V9" s="26">
        <f>22.5*1000</f>
        <v>22500</v>
      </c>
      <c r="W9" s="26">
        <f>MIN(Table6[Production_Olives])</f>
        <v>15600</v>
      </c>
      <c r="X9" s="26">
        <f>MAX(Table6[Production_Olives])</f>
        <v>659300</v>
      </c>
      <c r="Y9" s="39">
        <f>(Table6[[#This Row],[Production_Olives]]-Table6[[#This Row],[Min]])/(Table6[[#This Row],[Max]]-Table6[[#This Row],[Min]])</f>
        <v>1.0719279167313966E-2</v>
      </c>
      <c r="AA9" s="13">
        <v>2.9000000000000001E-2</v>
      </c>
      <c r="AB9" s="13">
        <f>MIN(Table8[PIB])</f>
        <v>-9.1999999999999998E-2</v>
      </c>
      <c r="AC9" s="13">
        <f>MAX(Table8[PIB])</f>
        <v>8.8999999999999996E-2</v>
      </c>
      <c r="AD9" s="43">
        <f>(Table8[[#This Row],[PIB]]-Table8[[#This Row],[Min]])/(Table8[[#This Row],[Max]]-Table8[[#This Row],[Min]])</f>
        <v>0.66850828729281764</v>
      </c>
      <c r="AF9" s="13">
        <v>0.01</v>
      </c>
      <c r="AG9" s="13">
        <f>MIN(Table9[Inflation])</f>
        <v>-1.2E-2</v>
      </c>
      <c r="AH9" s="13">
        <f>MAX(Table9[Inflation])</f>
        <v>9.6000000000000002E-2</v>
      </c>
      <c r="AI9" s="43">
        <f>(Table9[[#This Row],[Inflation]]-Table9[[#This Row],[Min]])/(Table9[[#This Row],[Max]]-Table9[[#This Row],[Min]])</f>
        <v>0.20370370370370369</v>
      </c>
      <c r="AJ9" s="45">
        <f>1-Table9[[#This Row],[Inflation_N]]</f>
        <v>0.79629629629629628</v>
      </c>
      <c r="AL9" s="25">
        <v>309.5344827586207</v>
      </c>
      <c r="AM9" s="25">
        <f>MIN(Table10[PriceAVG])</f>
        <v>164.12043561896019</v>
      </c>
      <c r="AN9" s="25">
        <f>MAX(Table10[PriceAVG])</f>
        <v>840.98425196850394</v>
      </c>
      <c r="AO9" s="35">
        <f>(Table10[[#This Row],[PriceAVG]]-Table10[[#This Row],[Min]])/(Table10[[#This Row],[Max]]-Table10[[#This Row],[Min]])</f>
        <v>0.21483501352444326</v>
      </c>
      <c r="AP9" s="1">
        <f>1-Table10[[#This Row],[Inflation_N]]</f>
        <v>0.78516498647555677</v>
      </c>
      <c r="AR9" s="25">
        <v>886.88</v>
      </c>
      <c r="AS9" s="25">
        <f>MIN(Table11[Precipitation (mm)])</f>
        <v>582.9</v>
      </c>
      <c r="AT9" s="25">
        <f>MAX(Table11[Precipitation (mm)])</f>
        <v>1212.48</v>
      </c>
      <c r="AU9" s="35">
        <f>(Table11[[#This Row],[Precipitation (mm)]]-Table11[[#This Row],[Min]])/(Table11[[#This Row],[Max]]-Table11[[#This Row],[Min]])</f>
        <v>0.48282982305664091</v>
      </c>
    </row>
    <row r="10" spans="1:47" x14ac:dyDescent="0.3">
      <c r="A10" s="24">
        <f>71.6*1000</f>
        <v>71600</v>
      </c>
      <c r="B10">
        <f>MIN(Table2[Consumption])</f>
        <v>12000</v>
      </c>
      <c r="C10" s="25">
        <f>MAX(Table2[Consumption])</f>
        <v>579900</v>
      </c>
      <c r="D10" s="35">
        <f>(Table2[[#This Row],[Consumption]]-Table2[[#This Row],[Min]])/(Table2[[#This Row],[Max]]-Table2[[#This Row],[Min]])</f>
        <v>0.10494805423490051</v>
      </c>
      <c r="F10" s="24">
        <f>140.5*1000</f>
        <v>140500</v>
      </c>
      <c r="G10" s="24">
        <f>MIN(Table3[Production])</f>
        <v>100000</v>
      </c>
      <c r="H10" s="24">
        <f>MAX(Table3[Production])</f>
        <v>1789900</v>
      </c>
      <c r="I10" s="35">
        <f>(Table3[[#This Row],[Production]]-Table3[[#This Row],[Min]])/(Table3[[#This Row],[Max]]-Table3[[#This Row],[Min]])</f>
        <v>2.3965915142907863E-2</v>
      </c>
      <c r="K10" s="24">
        <f>80.2*1000</f>
        <v>80200</v>
      </c>
      <c r="L10" s="25">
        <f>MIN(Table4[Exportation])</f>
        <v>19600</v>
      </c>
      <c r="M10" s="25">
        <f>MAX(Table4[Exportation])</f>
        <v>468100</v>
      </c>
      <c r="N10" s="35">
        <f>(Table4[[#This Row],[Exportation]]-Table4[[#This Row],[Min]])/(Table4[[#This Row],[Max]]-Table4[[#This Row],[Min]])</f>
        <v>0.1351170568561873</v>
      </c>
      <c r="P10" s="24">
        <f>2.3*1000</f>
        <v>2300</v>
      </c>
      <c r="Q10" s="25">
        <f>MIN(Table5[Importation])</f>
        <v>0</v>
      </c>
      <c r="R10" s="25">
        <f>MAX(Table5[Importation])</f>
        <v>151900</v>
      </c>
      <c r="S10" s="35">
        <f>(Table5[[#This Row],[Importation]]-Table5[[#This Row],[Min]])/(Table5[[#This Row],[Max]]-Table5[[#This Row],[Min]])</f>
        <v>1.5141540487162607E-2</v>
      </c>
      <c r="T10" s="1">
        <f>1-Table5[[#This Row],[Importation_N]]</f>
        <v>0.98485845951283735</v>
      </c>
      <c r="V10" s="27">
        <f>24.7*1000</f>
        <v>24700</v>
      </c>
      <c r="W10" s="26">
        <f>MIN(Table6[Production_Olives])</f>
        <v>15600</v>
      </c>
      <c r="X10" s="26">
        <f>MAX(Table6[Production_Olives])</f>
        <v>659300</v>
      </c>
      <c r="Y10" s="39">
        <f>(Table6[[#This Row],[Production_Olives]]-Table6[[#This Row],[Min]])/(Table6[[#This Row],[Max]]-Table6[[#This Row],[Min]])</f>
        <v>1.4137020351095231E-2</v>
      </c>
      <c r="AA10" s="12">
        <v>2.7E-2</v>
      </c>
      <c r="AB10" s="13">
        <f>MIN(Table8[PIB])</f>
        <v>-9.1999999999999998E-2</v>
      </c>
      <c r="AC10" s="13">
        <f>MAX(Table8[PIB])</f>
        <v>8.8999999999999996E-2</v>
      </c>
      <c r="AD10" s="43">
        <f>(Table8[[#This Row],[PIB]]-Table8[[#This Row],[Min]])/(Table8[[#This Row],[Max]]-Table8[[#This Row],[Min]])</f>
        <v>0.65745856353591159</v>
      </c>
      <c r="AF10" s="12">
        <v>3.0000000000000001E-3</v>
      </c>
      <c r="AG10" s="13">
        <f>MIN(Table9[Inflation])</f>
        <v>-1.2E-2</v>
      </c>
      <c r="AH10" s="13">
        <f>MAX(Table9[Inflation])</f>
        <v>9.6000000000000002E-2</v>
      </c>
      <c r="AI10" s="43">
        <f>(Table9[[#This Row],[Inflation]]-Table9[[#This Row],[Min]])/(Table9[[#This Row],[Max]]-Table9[[#This Row],[Min]])</f>
        <v>0.1388888888888889</v>
      </c>
      <c r="AJ10" s="45">
        <f>1-Table9[[#This Row],[Inflation_N]]</f>
        <v>0.86111111111111116</v>
      </c>
      <c r="AL10" s="24">
        <v>270.42567567567568</v>
      </c>
      <c r="AM10" s="25">
        <f>MIN(Table10[PriceAVG])</f>
        <v>164.12043561896019</v>
      </c>
      <c r="AN10" s="25">
        <f>MAX(Table10[PriceAVG])</f>
        <v>840.98425196850394</v>
      </c>
      <c r="AO10" s="35">
        <f>(Table10[[#This Row],[PriceAVG]]-Table10[[#This Row],[Min]])/(Table10[[#This Row],[Max]]-Table10[[#This Row],[Min]])</f>
        <v>0.15705558118033258</v>
      </c>
      <c r="AP10" s="1">
        <f>1-Table10[[#This Row],[Inflation_N]]</f>
        <v>0.84294441881966742</v>
      </c>
      <c r="AR10" s="24">
        <v>703.53</v>
      </c>
      <c r="AS10" s="25">
        <f>MIN(Table11[Precipitation (mm)])</f>
        <v>582.9</v>
      </c>
      <c r="AT10" s="25">
        <f>MAX(Table11[Precipitation (mm)])</f>
        <v>1212.48</v>
      </c>
      <c r="AU10" s="35">
        <f>(Table11[[#This Row],[Precipitation (mm)]]-Table11[[#This Row],[Min]])/(Table11[[#This Row],[Max]]-Table11[[#This Row],[Min]])</f>
        <v>0.19160392642714189</v>
      </c>
    </row>
    <row r="11" spans="1:47" x14ac:dyDescent="0.3">
      <c r="A11" s="25">
        <f>61.8*1000</f>
        <v>61800</v>
      </c>
      <c r="B11">
        <f>MIN(Table2[Consumption])</f>
        <v>12000</v>
      </c>
      <c r="C11" s="25">
        <f>MAX(Table2[Consumption])</f>
        <v>579900</v>
      </c>
      <c r="D11" s="35">
        <f>(Table2[[#This Row],[Consumption]]-Table2[[#This Row],[Min]])/(Table2[[#This Row],[Max]]-Table2[[#This Row],[Min]])</f>
        <v>8.7691494981510826E-2</v>
      </c>
      <c r="F11" s="25">
        <f>100*1000</f>
        <v>100000</v>
      </c>
      <c r="G11" s="25">
        <f>MIN(Table3[Production])</f>
        <v>100000</v>
      </c>
      <c r="H11" s="25">
        <f>MAX(Table3[Production])</f>
        <v>1789900</v>
      </c>
      <c r="I11" s="35">
        <f>(Table3[[#This Row],[Production]]-Table3[[#This Row],[Min]])/(Table3[[#This Row],[Max]]-Table3[[#This Row],[Min]])</f>
        <v>0</v>
      </c>
      <c r="K11" s="25">
        <f>76.1*1000</f>
        <v>76100</v>
      </c>
      <c r="L11" s="25">
        <f>MIN(Table4[Exportation])</f>
        <v>19600</v>
      </c>
      <c r="M11" s="25">
        <f>MAX(Table4[Exportation])</f>
        <v>468100</v>
      </c>
      <c r="N11" s="35">
        <f>(Table4[[#This Row],[Exportation]]-Table4[[#This Row],[Min]])/(Table4[[#This Row],[Max]]-Table4[[#This Row],[Min]])</f>
        <v>0.12597547380156077</v>
      </c>
      <c r="P11" s="25">
        <f>0.4*1000</f>
        <v>400</v>
      </c>
      <c r="Q11" s="25">
        <f>MIN(Table5[Importation])</f>
        <v>0</v>
      </c>
      <c r="R11" s="25">
        <f>MAX(Table5[Importation])</f>
        <v>151900</v>
      </c>
      <c r="S11" s="35">
        <f>(Table5[[#This Row],[Importation]]-Table5[[#This Row],[Min]])/(Table5[[#This Row],[Max]]-Table5[[#This Row],[Min]])</f>
        <v>2.6333113890717576E-3</v>
      </c>
      <c r="T11" s="1">
        <f>1-Table5[[#This Row],[Importation_N]]</f>
        <v>0.99736668861092825</v>
      </c>
      <c r="V11" s="26">
        <f>15.6*1000</f>
        <v>15600</v>
      </c>
      <c r="W11" s="26">
        <f>MIN(Table6[Production_Olives])</f>
        <v>15600</v>
      </c>
      <c r="X11" s="26">
        <f>MAX(Table6[Production_Olives])</f>
        <v>659300</v>
      </c>
      <c r="Y11" s="39">
        <f>(Table6[[#This Row],[Production_Olives]]-Table6[[#This Row],[Min]])/(Table6[[#This Row],[Max]]-Table6[[#This Row],[Min]])</f>
        <v>0</v>
      </c>
      <c r="AA11" s="13">
        <v>-8.2000000000000003E-2</v>
      </c>
      <c r="AB11" s="13">
        <f>MIN(Table8[PIB])</f>
        <v>-9.1999999999999998E-2</v>
      </c>
      <c r="AC11" s="13">
        <f>MAX(Table8[PIB])</f>
        <v>8.8999999999999996E-2</v>
      </c>
      <c r="AD11" s="43">
        <f>(Table8[[#This Row],[PIB]]-Table8[[#This Row],[Min]])/(Table8[[#This Row],[Max]]-Table8[[#This Row],[Min]])</f>
        <v>5.5248618784530364E-2</v>
      </c>
      <c r="AF11" s="13">
        <v>0</v>
      </c>
      <c r="AG11" s="13">
        <f>MIN(Table9[Inflation])</f>
        <v>-1.2E-2</v>
      </c>
      <c r="AH11" s="13">
        <f>MAX(Table9[Inflation])</f>
        <v>9.6000000000000002E-2</v>
      </c>
      <c r="AI11" s="43">
        <f>(Table9[[#This Row],[Inflation]]-Table9[[#This Row],[Min]])/(Table9[[#This Row],[Max]]-Table9[[#This Row],[Min]])</f>
        <v>0.11111111111111112</v>
      </c>
      <c r="AJ11" s="45">
        <f>1-Table9[[#This Row],[Inflation_N]]</f>
        <v>0.88888888888888884</v>
      </c>
      <c r="AL11" s="25">
        <v>239.93975903614461</v>
      </c>
      <c r="AM11" s="25">
        <f>MIN(Table10[PriceAVG])</f>
        <v>164.12043561896019</v>
      </c>
      <c r="AN11" s="25">
        <f>MAX(Table10[PriceAVG])</f>
        <v>840.98425196850394</v>
      </c>
      <c r="AO11" s="35">
        <f>(Table10[[#This Row],[PriceAVG]]-Table10[[#This Row],[Min]])/(Table10[[#This Row],[Max]]-Table10[[#This Row],[Min]])</f>
        <v>0.11201562498360831</v>
      </c>
      <c r="AP11" s="1">
        <f>1-Table10[[#This Row],[Inflation_N]]</f>
        <v>0.88798437501639171</v>
      </c>
      <c r="AR11" s="25">
        <v>710.88</v>
      </c>
      <c r="AS11" s="25">
        <f>MIN(Table11[Precipitation (mm)])</f>
        <v>582.9</v>
      </c>
      <c r="AT11" s="25">
        <f>MAX(Table11[Precipitation (mm)])</f>
        <v>1212.48</v>
      </c>
      <c r="AU11" s="35">
        <f>(Table11[[#This Row],[Precipitation (mm)]]-Table11[[#This Row],[Min]])/(Table11[[#This Row],[Max]]-Table11[[#This Row],[Min]])</f>
        <v>0.20327837606023064</v>
      </c>
    </row>
    <row r="12" spans="1:47" x14ac:dyDescent="0.3">
      <c r="A12" s="24">
        <f>59.3*1000</f>
        <v>59300</v>
      </c>
      <c r="B12">
        <f>MIN(Table2[Consumption])</f>
        <v>12000</v>
      </c>
      <c r="C12" s="25">
        <f>MAX(Table2[Consumption])</f>
        <v>579900</v>
      </c>
      <c r="D12" s="35">
        <f>(Table2[[#This Row],[Consumption]]-Table2[[#This Row],[Min]])/(Table2[[#This Row],[Max]]-Table2[[#This Row],[Min]])</f>
        <v>8.3289311498503257E-2</v>
      </c>
      <c r="F12" s="24">
        <f>206.2*1000</f>
        <v>206200</v>
      </c>
      <c r="G12" s="24">
        <f>MIN(Table3[Production])</f>
        <v>100000</v>
      </c>
      <c r="H12" s="24">
        <f>MAX(Table3[Production])</f>
        <v>1789900</v>
      </c>
      <c r="I12" s="35">
        <f>(Table3[[#This Row],[Production]]-Table3[[#This Row],[Min]])/(Table3[[#This Row],[Max]]-Table3[[#This Row],[Min]])</f>
        <v>6.2843955263625073E-2</v>
      </c>
      <c r="K12" s="24">
        <f>72.7*1000</f>
        <v>72700</v>
      </c>
      <c r="L12" s="25">
        <f>MIN(Table4[Exportation])</f>
        <v>19600</v>
      </c>
      <c r="M12" s="25">
        <f>MAX(Table4[Exportation])</f>
        <v>468100</v>
      </c>
      <c r="N12" s="35">
        <f>(Table4[[#This Row],[Exportation]]-Table4[[#This Row],[Min]])/(Table4[[#This Row],[Max]]-Table4[[#This Row],[Min]])</f>
        <v>0.11839464882943143</v>
      </c>
      <c r="P12" s="24">
        <f>0*1000</f>
        <v>0</v>
      </c>
      <c r="Q12" s="25">
        <f>MIN(Table5[Importation])</f>
        <v>0</v>
      </c>
      <c r="R12" s="25">
        <f>MAX(Table5[Importation])</f>
        <v>151900</v>
      </c>
      <c r="S12" s="35">
        <f>(Table5[[#This Row],[Importation]]-Table5[[#This Row],[Min]])/(Table5[[#This Row],[Max]]-Table5[[#This Row],[Min]])</f>
        <v>0</v>
      </c>
      <c r="T12" s="1">
        <f>1-Table5[[#This Row],[Importation_N]]</f>
        <v>1</v>
      </c>
      <c r="V12" s="27">
        <f>25.5*1000</f>
        <v>25500</v>
      </c>
      <c r="W12" s="26">
        <f>MIN(Table6[Production_Olives])</f>
        <v>15600</v>
      </c>
      <c r="X12" s="26">
        <f>MAX(Table6[Production_Olives])</f>
        <v>659300</v>
      </c>
      <c r="Y12" s="39">
        <f>(Table6[[#This Row],[Production_Olives]]-Table6[[#This Row],[Min]])/(Table6[[#This Row],[Max]]-Table6[[#This Row],[Min]])</f>
        <v>1.537983532701569E-2</v>
      </c>
      <c r="AA12" s="12">
        <v>5.6000000000000001E-2</v>
      </c>
      <c r="AB12" s="13">
        <f>MIN(Table8[PIB])</f>
        <v>-9.1999999999999998E-2</v>
      </c>
      <c r="AC12" s="13">
        <f>MAX(Table8[PIB])</f>
        <v>8.8999999999999996E-2</v>
      </c>
      <c r="AD12" s="43">
        <f>(Table8[[#This Row],[PIB]]-Table8[[#This Row],[Min]])/(Table8[[#This Row],[Max]]-Table8[[#This Row],[Min]])</f>
        <v>0.81767955801104975</v>
      </c>
      <c r="AF12" s="12">
        <v>1.2999999999999999E-2</v>
      </c>
      <c r="AG12" s="13">
        <f>MIN(Table9[Inflation])</f>
        <v>-1.2E-2</v>
      </c>
      <c r="AH12" s="13">
        <f>MAX(Table9[Inflation])</f>
        <v>9.6000000000000002E-2</v>
      </c>
      <c r="AI12" s="43">
        <f>(Table9[[#This Row],[Inflation]]-Table9[[#This Row],[Min]])/(Table9[[#This Row],[Max]]-Table9[[#This Row],[Min]])</f>
        <v>0.23148148148148151</v>
      </c>
      <c r="AJ12" s="45">
        <f>1-Table9[[#This Row],[Inflation_N]]</f>
        <v>0.76851851851851849</v>
      </c>
      <c r="AL12" s="24">
        <v>294.60318015267171</v>
      </c>
      <c r="AM12" s="25">
        <f>MIN(Table10[PriceAVG])</f>
        <v>164.12043561896019</v>
      </c>
      <c r="AN12" s="25">
        <f>MAX(Table10[PriceAVG])</f>
        <v>840.98425196850394</v>
      </c>
      <c r="AO12" s="35">
        <f>(Table10[[#This Row],[PriceAVG]]-Table10[[#This Row],[Min]])/(Table10[[#This Row],[Max]]-Table10[[#This Row],[Min]])</f>
        <v>0.19277547622124339</v>
      </c>
      <c r="AP12" s="1">
        <f>1-Table10[[#This Row],[Inflation_N]]</f>
        <v>0.80722452377875664</v>
      </c>
      <c r="AR12" s="24">
        <v>734.05</v>
      </c>
      <c r="AS12" s="25">
        <f>MIN(Table11[Precipitation (mm)])</f>
        <v>582.9</v>
      </c>
      <c r="AT12" s="25">
        <f>MAX(Table11[Precipitation (mm)])</f>
        <v>1212.48</v>
      </c>
      <c r="AU12" s="35">
        <f>(Table11[[#This Row],[Precipitation (mm)]]-Table11[[#This Row],[Min]])/(Table11[[#This Row],[Max]]-Table11[[#This Row],[Min]])</f>
        <v>0.24008068871311028</v>
      </c>
    </row>
    <row r="13" spans="1:47" x14ac:dyDescent="0.3">
      <c r="A13" s="25">
        <f>39.1*1000</f>
        <v>39100</v>
      </c>
      <c r="B13">
        <f>MIN(Table2[Consumption])</f>
        <v>12000</v>
      </c>
      <c r="C13" s="25">
        <f>MAX(Table2[Consumption])</f>
        <v>579900</v>
      </c>
      <c r="D13" s="35">
        <f>(Table2[[#This Row],[Consumption]]-Table2[[#This Row],[Min]])/(Table2[[#This Row],[Max]]-Table2[[#This Row],[Min]])</f>
        <v>4.7719668955802076E-2</v>
      </c>
      <c r="F13" s="25">
        <f>126*1000</f>
        <v>126000</v>
      </c>
      <c r="G13" s="25">
        <f>MIN(Table3[Production])</f>
        <v>100000</v>
      </c>
      <c r="H13" s="25">
        <f>MAX(Table3[Production])</f>
        <v>1789900</v>
      </c>
      <c r="I13" s="35">
        <f>(Table3[[#This Row],[Production]]-Table3[[#This Row],[Min]])/(Table3[[#This Row],[Max]]-Table3[[#This Row],[Min]])</f>
        <v>1.5385525770755666E-2</v>
      </c>
      <c r="K13" s="25">
        <f>59*1000</f>
        <v>59000</v>
      </c>
      <c r="L13" s="25">
        <f>MIN(Table4[Exportation])</f>
        <v>19600</v>
      </c>
      <c r="M13" s="25">
        <f>MAX(Table4[Exportation])</f>
        <v>468100</v>
      </c>
      <c r="N13" s="35">
        <f>(Table4[[#This Row],[Exportation]]-Table4[[#This Row],[Min]])/(Table4[[#This Row],[Max]]-Table4[[#This Row],[Min]])</f>
        <v>8.7848383500557417E-2</v>
      </c>
      <c r="P13" s="25">
        <f>2.3*1000</f>
        <v>2300</v>
      </c>
      <c r="Q13" s="25">
        <f>MIN(Table5[Importation])</f>
        <v>0</v>
      </c>
      <c r="R13" s="25">
        <f>MAX(Table5[Importation])</f>
        <v>151900</v>
      </c>
      <c r="S13" s="35">
        <f>(Table5[[#This Row],[Importation]]-Table5[[#This Row],[Min]])/(Table5[[#This Row],[Max]]-Table5[[#This Row],[Min]])</f>
        <v>1.5141540487162607E-2</v>
      </c>
      <c r="T13" s="1">
        <f>1-Table5[[#This Row],[Importation_N]]</f>
        <v>0.98485845951283735</v>
      </c>
      <c r="V13" s="26">
        <f>16.9*1000</f>
        <v>16900</v>
      </c>
      <c r="W13" s="26">
        <f>MIN(Table6[Production_Olives])</f>
        <v>15600</v>
      </c>
      <c r="X13" s="26">
        <f>MAX(Table6[Production_Olives])</f>
        <v>659300</v>
      </c>
      <c r="Y13" s="39">
        <f>(Table6[[#This Row],[Production_Olives]]-Table6[[#This Row],[Min]])/(Table6[[#This Row],[Max]]-Table6[[#This Row],[Min]])</f>
        <v>2.0195743358707471E-3</v>
      </c>
      <c r="AA13" s="13">
        <v>7.0000000000000007E-2</v>
      </c>
      <c r="AB13" s="13">
        <f>MIN(Table8[PIB])</f>
        <v>-9.1999999999999998E-2</v>
      </c>
      <c r="AC13" s="13">
        <f>MAX(Table8[PIB])</f>
        <v>8.8999999999999996E-2</v>
      </c>
      <c r="AD13" s="43">
        <f>(Table8[[#This Row],[PIB]]-Table8[[#This Row],[Min]])/(Table8[[#This Row],[Max]]-Table8[[#This Row],[Min]])</f>
        <v>0.89502762430939231</v>
      </c>
      <c r="AF13" s="13">
        <v>7.8E-2</v>
      </c>
      <c r="AG13" s="13">
        <f>MIN(Table9[Inflation])</f>
        <v>-1.2E-2</v>
      </c>
      <c r="AH13" s="13">
        <f>MAX(Table9[Inflation])</f>
        <v>9.6000000000000002E-2</v>
      </c>
      <c r="AI13" s="43">
        <f>(Table9[[#This Row],[Inflation]]-Table9[[#This Row],[Min]])/(Table9[[#This Row],[Max]]-Table9[[#This Row],[Min]])</f>
        <v>0.83333333333333326</v>
      </c>
      <c r="AJ13" s="45">
        <f>1-Table9[[#This Row],[Inflation_N]]</f>
        <v>0.16666666666666674</v>
      </c>
      <c r="AL13" s="25">
        <v>336.48511875000003</v>
      </c>
      <c r="AM13" s="25">
        <f>MIN(Table10[PriceAVG])</f>
        <v>164.12043561896019</v>
      </c>
      <c r="AN13" s="25">
        <f>MAX(Table10[PriceAVG])</f>
        <v>840.98425196850394</v>
      </c>
      <c r="AO13" s="35">
        <f>(Table10[[#This Row],[PriceAVG]]-Table10[[#This Row],[Min]])/(Table10[[#This Row],[Max]]-Table10[[#This Row],[Min]])</f>
        <v>0.25465193879122627</v>
      </c>
      <c r="AP13" s="1">
        <f>1-Table10[[#This Row],[Inflation_N]]</f>
        <v>0.74534806120877373</v>
      </c>
      <c r="AR13" s="25">
        <v>795.25</v>
      </c>
      <c r="AS13" s="25">
        <f>MIN(Table11[Precipitation (mm)])</f>
        <v>582.9</v>
      </c>
      <c r="AT13" s="25">
        <f>MAX(Table11[Precipitation (mm)])</f>
        <v>1212.48</v>
      </c>
      <c r="AU13" s="35">
        <f>(Table11[[#This Row],[Precipitation (mm)]]-Table11[[#This Row],[Min]])/(Table11[[#This Row],[Max]]-Table11[[#This Row],[Min]])</f>
        <v>0.33728835096413484</v>
      </c>
    </row>
    <row r="14" spans="1:47" x14ac:dyDescent="0.3">
      <c r="A14" s="24">
        <f>60.9*1000</f>
        <v>60900</v>
      </c>
      <c r="B14">
        <f>MIN(Table2[Consumption])</f>
        <v>12000</v>
      </c>
      <c r="C14" s="25">
        <f>MAX(Table2[Consumption])</f>
        <v>579900</v>
      </c>
      <c r="D14" s="35">
        <f>(Table2[[#This Row],[Consumption]]-Table2[[#This Row],[Min]])/(Table2[[#This Row],[Max]]-Table2[[#This Row],[Min]])</f>
        <v>8.6106708927628103E-2</v>
      </c>
      <c r="F14" s="24">
        <f>160.9*1000</f>
        <v>160900</v>
      </c>
      <c r="G14" s="24">
        <f>MIN(Table3[Production])</f>
        <v>100000</v>
      </c>
      <c r="H14" s="24">
        <f>MAX(Table3[Production])</f>
        <v>1789900</v>
      </c>
      <c r="I14" s="35">
        <f>(Table3[[#This Row],[Production]]-Table3[[#This Row],[Min]])/(Table3[[#This Row],[Max]]-Table3[[#This Row],[Min]])</f>
        <v>3.6037635363039236E-2</v>
      </c>
      <c r="K14" s="24">
        <f>55.1*1000</f>
        <v>55100</v>
      </c>
      <c r="L14" s="25">
        <f>MIN(Table4[Exportation])</f>
        <v>19600</v>
      </c>
      <c r="M14" s="25">
        <f>MAX(Table4[Exportation])</f>
        <v>468100</v>
      </c>
      <c r="N14" s="35">
        <f>(Table4[[#This Row],[Exportation]]-Table4[[#This Row],[Min]])/(Table4[[#This Row],[Max]]-Table4[[#This Row],[Min]])</f>
        <v>7.9152731326644368E-2</v>
      </c>
      <c r="P14" s="24">
        <f>11.5*1000</f>
        <v>11500</v>
      </c>
      <c r="Q14" s="25">
        <f>MIN(Table5[Importation])</f>
        <v>0</v>
      </c>
      <c r="R14" s="25">
        <f>MAX(Table5[Importation])</f>
        <v>151900</v>
      </c>
      <c r="S14" s="35">
        <f>(Table5[[#This Row],[Importation]]-Table5[[#This Row],[Min]])/(Table5[[#This Row],[Max]]-Table5[[#This Row],[Min]])</f>
        <v>7.570770243581304E-2</v>
      </c>
      <c r="T14" s="1">
        <f>1-Table5[[#This Row],[Importation_N]]</f>
        <v>0.92429229756418696</v>
      </c>
      <c r="V14" s="27">
        <f>19.7*1000</f>
        <v>19700</v>
      </c>
      <c r="W14" s="26">
        <f>MIN(Table6[Production_Olives])</f>
        <v>15600</v>
      </c>
      <c r="X14" s="26">
        <f>MAX(Table6[Production_Olives])</f>
        <v>659300</v>
      </c>
      <c r="Y14" s="39">
        <f>(Table6[[#This Row],[Production_Olives]]-Table6[[#This Row],[Min]])/(Table6[[#This Row],[Max]]-Table6[[#This Row],[Min]])</f>
        <v>6.369426751592357E-3</v>
      </c>
      <c r="AA14" s="12">
        <v>2.5999999999999999E-2</v>
      </c>
      <c r="AB14" s="13">
        <f>MIN(Table8[PIB])</f>
        <v>-9.1999999999999998E-2</v>
      </c>
      <c r="AC14" s="13">
        <f>MAX(Table8[PIB])</f>
        <v>8.8999999999999996E-2</v>
      </c>
      <c r="AD14" s="43">
        <f>(Table8[[#This Row],[PIB]]-Table8[[#This Row],[Min]])/(Table8[[#This Row],[Max]]-Table8[[#This Row],[Min]])</f>
        <v>0.65193370165745856</v>
      </c>
      <c r="AF14" s="12">
        <v>4.2999999999999997E-2</v>
      </c>
      <c r="AG14" s="13">
        <f>MIN(Table9[Inflation])</f>
        <v>-1.2E-2</v>
      </c>
      <c r="AH14" s="13">
        <f>MAX(Table9[Inflation])</f>
        <v>9.6000000000000002E-2</v>
      </c>
      <c r="AI14" s="43">
        <f>(Table9[[#This Row],[Inflation]]-Table9[[#This Row],[Min]])/(Table9[[#This Row],[Max]]-Table9[[#This Row],[Min]])</f>
        <v>0.50925925925925919</v>
      </c>
      <c r="AJ14" s="45">
        <f>1-Table9[[#This Row],[Inflation_N]]</f>
        <v>0.49074074074074081</v>
      </c>
      <c r="AL14" s="24">
        <v>589.73076794871793</v>
      </c>
      <c r="AM14" s="25">
        <f>MIN(Table10[PriceAVG])</f>
        <v>164.12043561896019</v>
      </c>
      <c r="AN14" s="25">
        <f>MAX(Table10[PriceAVG])</f>
        <v>840.98425196850394</v>
      </c>
      <c r="AO14" s="35">
        <f>(Table10[[#This Row],[PriceAVG]]-Table10[[#This Row],[Min]])/(Table10[[#This Row],[Max]]-Table10[[#This Row],[Min]])</f>
        <v>0.62879758387020268</v>
      </c>
      <c r="AP14" s="1">
        <f>1-Table10[[#This Row],[Inflation_N]]</f>
        <v>0.37120241612979732</v>
      </c>
      <c r="AR14" s="24">
        <v>721.1</v>
      </c>
      <c r="AS14" s="25">
        <f>MIN(Table11[Precipitation (mm)])</f>
        <v>582.9</v>
      </c>
      <c r="AT14" s="25">
        <f>MAX(Table11[Precipitation (mm)])</f>
        <v>1212.48</v>
      </c>
      <c r="AU14" s="35">
        <f>(Table11[[#This Row],[Precipitation (mm)]]-Table11[[#This Row],[Min]])/(Table11[[#This Row],[Max]]-Table11[[#This Row],[Min]])</f>
        <v>0.21951142031195406</v>
      </c>
    </row>
    <row r="15" spans="1:47" x14ac:dyDescent="0.3">
      <c r="A15" s="25">
        <f>72.4*1000</f>
        <v>72400</v>
      </c>
      <c r="B15">
        <f>MIN(Table2[Consumption])</f>
        <v>12000</v>
      </c>
      <c r="C15" s="25">
        <f>MAX(Table2[Consumption])</f>
        <v>579900</v>
      </c>
      <c r="D15" s="35">
        <f>(Table2[[#This Row],[Consumption]]-Table2[[#This Row],[Min]])/(Table2[[#This Row],[Max]]-Table2[[#This Row],[Min]])</f>
        <v>0.10635675294946294</v>
      </c>
      <c r="F15" s="25">
        <f>195*1000</f>
        <v>195000</v>
      </c>
      <c r="G15" s="25">
        <f>MIN(Table3[Production])</f>
        <v>100000</v>
      </c>
      <c r="H15" s="25">
        <f>MAX(Table3[Production])</f>
        <v>1789900</v>
      </c>
      <c r="I15" s="35">
        <f>(Table3[[#This Row],[Production]]-Table3[[#This Row],[Min]])/(Table3[[#This Row],[Max]]-Table3[[#This Row],[Min]])</f>
        <v>5.6216344162376475E-2</v>
      </c>
      <c r="K15" s="25">
        <f>60*1000</f>
        <v>60000</v>
      </c>
      <c r="L15" s="25">
        <f>MIN(Table4[Exportation])</f>
        <v>19600</v>
      </c>
      <c r="M15" s="25">
        <f>MAX(Table4[Exportation])</f>
        <v>468100</v>
      </c>
      <c r="N15" s="35">
        <f>(Table4[[#This Row],[Exportation]]-Table4[[#This Row],[Min]])/(Table4[[#This Row],[Max]]-Table4[[#This Row],[Min]])</f>
        <v>9.0078037904124858E-2</v>
      </c>
      <c r="P15" s="25">
        <f>13.7*1000</f>
        <v>13700</v>
      </c>
      <c r="Q15" s="25">
        <f>MIN(Table5[Importation])</f>
        <v>0</v>
      </c>
      <c r="R15" s="25">
        <f>MAX(Table5[Importation])</f>
        <v>151900</v>
      </c>
      <c r="S15" s="35">
        <f>(Table5[[#This Row],[Importation]]-Table5[[#This Row],[Min]])/(Table5[[#This Row],[Max]]-Table5[[#This Row],[Min]])</f>
        <v>9.01909150757077E-2</v>
      </c>
      <c r="T15" s="1">
        <f>1-Table5[[#This Row],[Importation_N]]</f>
        <v>0.90980908492429236</v>
      </c>
      <c r="V15" s="26">
        <f>21*1000</f>
        <v>21000</v>
      </c>
      <c r="W15" s="26">
        <f>MIN(Table6[Production_Olives])</f>
        <v>15600</v>
      </c>
      <c r="X15" s="26">
        <f>MAX(Table6[Production_Olives])</f>
        <v>659300</v>
      </c>
      <c r="Y15" s="39">
        <f>(Table6[[#This Row],[Production_Olives]]-Table6[[#This Row],[Min]])/(Table6[[#This Row],[Max]]-Table6[[#This Row],[Min]])</f>
        <v>8.3890010874631046E-3</v>
      </c>
      <c r="AA15" s="13">
        <v>1.9E-2</v>
      </c>
      <c r="AB15" s="13">
        <f>MIN(Table8[PIB])</f>
        <v>-9.1999999999999998E-2</v>
      </c>
      <c r="AC15" s="13">
        <f>MAX(Table8[PIB])</f>
        <v>8.8999999999999996E-2</v>
      </c>
      <c r="AD15" s="43">
        <f>(Table8[[#This Row],[PIB]]-Table8[[#This Row],[Min]])/(Table8[[#This Row],[Max]]-Table8[[#This Row],[Min]])</f>
        <v>0.61325966850828728</v>
      </c>
      <c r="AF15" s="13">
        <v>2.4E-2</v>
      </c>
      <c r="AG15" s="13">
        <f>MIN(Table9[Inflation])</f>
        <v>-1.2E-2</v>
      </c>
      <c r="AH15" s="13">
        <f>MAX(Table9[Inflation])</f>
        <v>9.6000000000000002E-2</v>
      </c>
      <c r="AI15" s="43">
        <f>(Table9[[#This Row],[Inflation]]-Table9[[#This Row],[Min]])/(Table9[[#This Row],[Max]]-Table9[[#This Row],[Min]])</f>
        <v>0.33333333333333337</v>
      </c>
      <c r="AJ15" s="45">
        <f>1-Table9[[#This Row],[Inflation_N]]</f>
        <v>0.66666666666666663</v>
      </c>
      <c r="AL15" s="25">
        <v>840.98425196850394</v>
      </c>
      <c r="AM15" s="25">
        <f>MIN(Table10[PriceAVG])</f>
        <v>164.12043561896019</v>
      </c>
      <c r="AN15" s="25">
        <f>MAX(Table10[PriceAVG])</f>
        <v>840.98425196850394</v>
      </c>
      <c r="AO15" s="35">
        <f>(Table10[[#This Row],[PriceAVG]]-Table10[[#This Row],[Min]])/(Table10[[#This Row],[Max]]-Table10[[#This Row],[Min]])</f>
        <v>1</v>
      </c>
      <c r="AP15" s="1">
        <f>1-Table10[[#This Row],[Inflation_N]]</f>
        <v>0</v>
      </c>
      <c r="AR15" s="25">
        <v>774.13</v>
      </c>
      <c r="AS15" s="25">
        <f>MIN(Table11[Precipitation (mm)])</f>
        <v>582.9</v>
      </c>
      <c r="AT15" s="25">
        <f>MAX(Table11[Precipitation (mm)])</f>
        <v>1212.48</v>
      </c>
      <c r="AU15" s="35">
        <f>(Table11[[#This Row],[Precipitation (mm)]]-Table11[[#This Row],[Min]])/(Table11[[#This Row],[Max]]-Table11[[#This Row],[Min]])</f>
        <v>0.3037421773245656</v>
      </c>
    </row>
    <row r="16" spans="1:47" x14ac:dyDescent="0.3">
      <c r="A16" s="24">
        <f>120*100</f>
        <v>12000</v>
      </c>
      <c r="B16">
        <f>MIN(Table2[Consumption])</f>
        <v>12000</v>
      </c>
      <c r="C16" s="25">
        <f>MAX(Table2[Consumption])</f>
        <v>579900</v>
      </c>
      <c r="D16" s="35">
        <f>(Table2[[#This Row],[Consumption]]-Table2[[#This Row],[Min]])/(Table2[[#This Row],[Max]]-Table2[[#This Row],[Min]])</f>
        <v>0</v>
      </c>
      <c r="F16" s="24">
        <f>185*1000</f>
        <v>185000</v>
      </c>
      <c r="G16" s="24">
        <f>MIN(Table3[Production])</f>
        <v>100000</v>
      </c>
      <c r="H16" s="24">
        <f>MAX(Table3[Production])</f>
        <v>1789900</v>
      </c>
      <c r="I16" s="35">
        <f>(Table3[[#This Row],[Production]]-Table3[[#This Row],[Min]])/(Table3[[#This Row],[Max]]-Table3[[#This Row],[Min]])</f>
        <v>5.0298834250547368E-2</v>
      </c>
      <c r="K16" s="24">
        <f>20.2*1000</f>
        <v>20200</v>
      </c>
      <c r="L16" s="25">
        <f>MIN(Table4[Exportation])</f>
        <v>19600</v>
      </c>
      <c r="M16" s="25">
        <f>MAX(Table4[Exportation])</f>
        <v>468100</v>
      </c>
      <c r="N16" s="35">
        <f>(Table4[[#This Row],[Exportation]]-Table4[[#This Row],[Min]])/(Table4[[#This Row],[Max]]-Table4[[#This Row],[Min]])</f>
        <v>1.3377926421404682E-3</v>
      </c>
      <c r="P16" s="24">
        <f>0*1000</f>
        <v>0</v>
      </c>
      <c r="Q16" s="25">
        <f>MIN(Table5[Importation])</f>
        <v>0</v>
      </c>
      <c r="R16" s="25">
        <f>MAX(Table5[Importation])</f>
        <v>151900</v>
      </c>
      <c r="S16" s="35">
        <f>(Table5[[#This Row],[Importation]]-Table5[[#This Row],[Min]])/(Table5[[#This Row],[Max]]-Table5[[#This Row],[Min]])</f>
        <v>0</v>
      </c>
      <c r="T16" s="1">
        <f>1-Table5[[#This Row],[Importation_N]]</f>
        <v>1</v>
      </c>
      <c r="V16" s="27">
        <f>199*1000</f>
        <v>199000</v>
      </c>
      <c r="W16" s="26">
        <f>MIN(Table6[Production_Olives])</f>
        <v>15600</v>
      </c>
      <c r="X16" s="26">
        <f>MAX(Table6[Production_Olives])</f>
        <v>659300</v>
      </c>
      <c r="Y16" s="39">
        <f>(Table6[[#This Row],[Production_Olives]]-Table6[[#This Row],[Min]])/(Table6[[#This Row],[Max]]-Table6[[#This Row],[Min]])</f>
        <v>0.28491533322976542</v>
      </c>
      <c r="AA16" s="12">
        <v>2.1000000000000001E-2</v>
      </c>
      <c r="AB16" s="13">
        <f>MIN(Table8[PIB])</f>
        <v>-9.1999999999999998E-2</v>
      </c>
      <c r="AC16" s="13">
        <f>MAX(Table8[PIB])</f>
        <v>8.8999999999999996E-2</v>
      </c>
      <c r="AD16" s="43">
        <f>(Table8[[#This Row],[PIB]]-Table8[[#This Row],[Min]])/(Table8[[#This Row],[Max]]-Table8[[#This Row],[Min]])</f>
        <v>0.62430939226519344</v>
      </c>
      <c r="AF16" s="12">
        <v>6.0000000000000001E-3</v>
      </c>
      <c r="AG16" s="13">
        <f>MIN(Table9[Inflation])</f>
        <v>-1.2E-2</v>
      </c>
      <c r="AH16" s="13">
        <f>MAX(Table9[Inflation])</f>
        <v>9.6000000000000002E-2</v>
      </c>
      <c r="AI16" s="43">
        <f>(Table9[[#This Row],[Inflation]]-Table9[[#This Row],[Min]])/(Table9[[#This Row],[Max]]-Table9[[#This Row],[Min]])</f>
        <v>0.16666666666666669</v>
      </c>
      <c r="AJ16" s="45">
        <f>1-Table9[[#This Row],[Inflation_N]]</f>
        <v>0.83333333333333326</v>
      </c>
      <c r="AL16" s="24">
        <v>269.25496932515341</v>
      </c>
      <c r="AM16" s="25">
        <f>MIN(Table10[PriceAVG])</f>
        <v>164.12043561896019</v>
      </c>
      <c r="AN16" s="25">
        <f>MAX(Table10[PriceAVG])</f>
        <v>840.98425196850394</v>
      </c>
      <c r="AO16" s="35">
        <f>(Table10[[#This Row],[PriceAVG]]-Table10[[#This Row],[Min]])/(Table10[[#This Row],[Max]]-Table10[[#This Row],[Min]])</f>
        <v>0.15532597720055993</v>
      </c>
      <c r="AP16" s="1">
        <f>1-Table10[[#This Row],[Inflation_N]]</f>
        <v>0.84467402279944004</v>
      </c>
      <c r="AR16" s="24">
        <v>913.35</v>
      </c>
      <c r="AS16" s="25">
        <f>MIN(Table11[Precipitation (mm)])</f>
        <v>582.9</v>
      </c>
      <c r="AT16" s="25">
        <f>MAX(Table11[Precipitation (mm)])</f>
        <v>1212.48</v>
      </c>
      <c r="AU16" s="35">
        <f>(Table11[[#This Row],[Precipitation (mm)]]-Table11[[#This Row],[Min]])/(Table11[[#This Row],[Max]]-Table11[[#This Row],[Min]])</f>
        <v>0.52487372534070331</v>
      </c>
    </row>
    <row r="17" spans="1:47" x14ac:dyDescent="0.3">
      <c r="A17" s="25">
        <f>114.3*1000</f>
        <v>114300</v>
      </c>
      <c r="B17">
        <f>MIN(Table2[Consumption])</f>
        <v>12000</v>
      </c>
      <c r="C17" s="25">
        <f>MAX(Table2[Consumption])</f>
        <v>579900</v>
      </c>
      <c r="D17" s="35">
        <f>(Table2[[#This Row],[Consumption]]-Table2[[#This Row],[Min]])/(Table2[[#This Row],[Max]]-Table2[[#This Row],[Min]])</f>
        <v>0.18013734812466983</v>
      </c>
      <c r="F17" s="25">
        <f>275*1000</f>
        <v>275000</v>
      </c>
      <c r="G17" s="25">
        <f>MIN(Table3[Production])</f>
        <v>100000</v>
      </c>
      <c r="H17" s="25">
        <f>MAX(Table3[Production])</f>
        <v>1789900</v>
      </c>
      <c r="I17" s="35">
        <f>(Table3[[#This Row],[Production]]-Table3[[#This Row],[Min]])/(Table3[[#This Row],[Max]]-Table3[[#This Row],[Min]])</f>
        <v>0.10355642345700929</v>
      </c>
      <c r="K17" s="25">
        <f>20.8*1000</f>
        <v>20800</v>
      </c>
      <c r="L17" s="25">
        <f>MIN(Table4[Exportation])</f>
        <v>19600</v>
      </c>
      <c r="M17" s="25">
        <f>MAX(Table4[Exportation])</f>
        <v>468100</v>
      </c>
      <c r="N17" s="35">
        <f>(Table4[[#This Row],[Exportation]]-Table4[[#This Row],[Min]])/(Table4[[#This Row],[Max]]-Table4[[#This Row],[Min]])</f>
        <v>2.6755852842809363E-3</v>
      </c>
      <c r="P17" s="25">
        <f>0*1000</f>
        <v>0</v>
      </c>
      <c r="Q17" s="25">
        <f>MIN(Table5[Importation])</f>
        <v>0</v>
      </c>
      <c r="R17" s="25">
        <f>MAX(Table5[Importation])</f>
        <v>151900</v>
      </c>
      <c r="S17" s="35">
        <f>(Table5[[#This Row],[Importation]]-Table5[[#This Row],[Min]])/(Table5[[#This Row],[Max]]-Table5[[#This Row],[Min]])</f>
        <v>0</v>
      </c>
      <c r="T17" s="1">
        <f>1-Table5[[#This Row],[Importation_N]]</f>
        <v>1</v>
      </c>
      <c r="V17" s="26">
        <f>222*1000</f>
        <v>222000</v>
      </c>
      <c r="W17" s="26">
        <f>MIN(Table6[Production_Olives])</f>
        <v>15600</v>
      </c>
      <c r="X17" s="26">
        <f>MAX(Table6[Production_Olives])</f>
        <v>659300</v>
      </c>
      <c r="Y17" s="39">
        <f>(Table6[[#This Row],[Production_Olives]]-Table6[[#This Row],[Min]])/(Table6[[#This Row],[Max]]-Table6[[#This Row],[Min]])</f>
        <v>0.32064626378747862</v>
      </c>
      <c r="AA17" s="13">
        <v>2.3E-2</v>
      </c>
      <c r="AB17" s="13">
        <f>MIN(Table8[PIB])</f>
        <v>-9.1999999999999998E-2</v>
      </c>
      <c r="AC17" s="13">
        <f>MAX(Table8[PIB])</f>
        <v>8.8999999999999996E-2</v>
      </c>
      <c r="AD17" s="43">
        <f>(Table8[[#This Row],[PIB]]-Table8[[#This Row],[Min]])/(Table8[[#This Row],[Max]]-Table8[[#This Row],[Min]])</f>
        <v>0.63535911602209938</v>
      </c>
      <c r="AF17" s="13">
        <v>3.0000000000000001E-3</v>
      </c>
      <c r="AG17" s="13">
        <f>MIN(Table9[Inflation])</f>
        <v>-1.2E-2</v>
      </c>
      <c r="AH17" s="13">
        <f>MAX(Table9[Inflation])</f>
        <v>9.6000000000000002E-2</v>
      </c>
      <c r="AI17" s="43">
        <f>(Table9[[#This Row],[Inflation]]-Table9[[#This Row],[Min]])/(Table9[[#This Row],[Max]]-Table9[[#This Row],[Min]])</f>
        <v>0.1388888888888889</v>
      </c>
      <c r="AJ17" s="45">
        <f>1-Table9[[#This Row],[Inflation_N]]</f>
        <v>0.86111111111111116</v>
      </c>
      <c r="AL17" s="25">
        <v>229.40700062695919</v>
      </c>
      <c r="AM17" s="25">
        <f>MIN(Table10[PriceAVG])</f>
        <v>164.12043561896019</v>
      </c>
      <c r="AN17" s="25">
        <f>MAX(Table10[PriceAVG])</f>
        <v>840.98425196850394</v>
      </c>
      <c r="AO17" s="35">
        <f>(Table10[[#This Row],[PriceAVG]]-Table10[[#This Row],[Min]])/(Table10[[#This Row],[Max]]-Table10[[#This Row],[Min]])</f>
        <v>9.6454505959709821E-2</v>
      </c>
      <c r="AP17" s="1">
        <f>1-Table10[[#This Row],[Inflation_N]]</f>
        <v>0.90354549404029016</v>
      </c>
      <c r="AR17" s="25">
        <v>872.43</v>
      </c>
      <c r="AS17" s="25">
        <f>MIN(Table11[Precipitation (mm)])</f>
        <v>582.9</v>
      </c>
      <c r="AT17" s="25">
        <f>MAX(Table11[Precipitation (mm)])</f>
        <v>1212.48</v>
      </c>
      <c r="AU17" s="35">
        <f>(Table11[[#This Row],[Precipitation (mm)]]-Table11[[#This Row],[Min]])/(Table11[[#This Row],[Max]]-Table11[[#This Row],[Min]])</f>
        <v>0.45987801391403788</v>
      </c>
    </row>
    <row r="18" spans="1:47" x14ac:dyDescent="0.3">
      <c r="A18" s="24">
        <f>108.6*1000</f>
        <v>108600</v>
      </c>
      <c r="B18">
        <f>MIN(Table2[Consumption])</f>
        <v>12000</v>
      </c>
      <c r="C18" s="25">
        <f>MAX(Table2[Consumption])</f>
        <v>579900</v>
      </c>
      <c r="D18" s="35">
        <f>(Table2[[#This Row],[Consumption]]-Table2[[#This Row],[Min]])/(Table2[[#This Row],[Max]]-Table2[[#This Row],[Min]])</f>
        <v>0.17010036978341259</v>
      </c>
      <c r="F18" s="24">
        <f>275*1000</f>
        <v>275000</v>
      </c>
      <c r="G18" s="24">
        <f>MIN(Table3[Production])</f>
        <v>100000</v>
      </c>
      <c r="H18" s="24">
        <f>MAX(Table3[Production])</f>
        <v>1789900</v>
      </c>
      <c r="I18" s="35">
        <f>(Table3[[#This Row],[Production]]-Table3[[#This Row],[Min]])/(Table3[[#This Row],[Max]]-Table3[[#This Row],[Min]])</f>
        <v>0.10355642345700929</v>
      </c>
      <c r="K18" s="24">
        <f>24.5*1000</f>
        <v>24500</v>
      </c>
      <c r="L18" s="25">
        <f>MIN(Table4[Exportation])</f>
        <v>19600</v>
      </c>
      <c r="M18" s="25">
        <f>MAX(Table4[Exportation])</f>
        <v>468100</v>
      </c>
      <c r="N18" s="35">
        <f>(Table4[[#This Row],[Exportation]]-Table4[[#This Row],[Min]])/(Table4[[#This Row],[Max]]-Table4[[#This Row],[Min]])</f>
        <v>1.092530657748049E-2</v>
      </c>
      <c r="P18" s="24">
        <f>0.1*1000</f>
        <v>100</v>
      </c>
      <c r="Q18" s="25">
        <f>MIN(Table5[Importation])</f>
        <v>0</v>
      </c>
      <c r="R18" s="25">
        <f>MAX(Table5[Importation])</f>
        <v>151900</v>
      </c>
      <c r="S18" s="35">
        <f>(Table5[[#This Row],[Importation]]-Table5[[#This Row],[Min]])/(Table5[[#This Row],[Max]]-Table5[[#This Row],[Min]])</f>
        <v>6.583278472679394E-4</v>
      </c>
      <c r="T18" s="1">
        <f>1-Table5[[#This Row],[Importation_N]]</f>
        <v>0.99934167215273206</v>
      </c>
      <c r="V18" s="27">
        <f>230*1000</f>
        <v>230000</v>
      </c>
      <c r="W18" s="26">
        <f>MIN(Table6[Production_Olives])</f>
        <v>15600</v>
      </c>
      <c r="X18" s="26">
        <f>MAX(Table6[Production_Olives])</f>
        <v>659300</v>
      </c>
      <c r="Y18" s="39">
        <f>(Table6[[#This Row],[Production_Olives]]-Table6[[#This Row],[Min]])/(Table6[[#This Row],[Max]]-Table6[[#This Row],[Min]])</f>
        <v>0.33307441354668321</v>
      </c>
      <c r="AA18" s="12">
        <v>-9.1999999999999998E-2</v>
      </c>
      <c r="AB18" s="13">
        <f>MIN(Table8[PIB])</f>
        <v>-9.1999999999999998E-2</v>
      </c>
      <c r="AC18" s="13">
        <f>MAX(Table8[PIB])</f>
        <v>8.8999999999999996E-2</v>
      </c>
      <c r="AD18" s="43">
        <f>(Table8[[#This Row],[PIB]]-Table8[[#This Row],[Min]])/(Table8[[#This Row],[Max]]-Table8[[#This Row],[Min]])</f>
        <v>0</v>
      </c>
      <c r="AF18" s="12">
        <v>-1.2E-2</v>
      </c>
      <c r="AG18" s="13">
        <f>MIN(Table9[Inflation])</f>
        <v>-1.2E-2</v>
      </c>
      <c r="AH18" s="13">
        <f>MAX(Table9[Inflation])</f>
        <v>9.6000000000000002E-2</v>
      </c>
      <c r="AI18" s="43">
        <f>(Table9[[#This Row],[Inflation]]-Table9[[#This Row],[Min]])/(Table9[[#This Row],[Max]]-Table9[[#This Row],[Min]])</f>
        <v>0</v>
      </c>
      <c r="AJ18" s="45">
        <f>1-Table9[[#This Row],[Inflation_N]]</f>
        <v>1</v>
      </c>
      <c r="AL18" s="24">
        <v>177.36952520593081</v>
      </c>
      <c r="AM18" s="25">
        <f>MIN(Table10[PriceAVG])</f>
        <v>164.12043561896019</v>
      </c>
      <c r="AN18" s="25">
        <f>MAX(Table10[PriceAVG])</f>
        <v>840.98425196850394</v>
      </c>
      <c r="AO18" s="35">
        <f>(Table10[[#This Row],[PriceAVG]]-Table10[[#This Row],[Min]])/(Table10[[#This Row],[Max]]-Table10[[#This Row],[Min]])</f>
        <v>1.9574232315187869E-2</v>
      </c>
      <c r="AP18" s="1">
        <f>1-Table10[[#This Row],[Inflation_N]]</f>
        <v>0.98042576768481215</v>
      </c>
      <c r="AR18" s="24">
        <v>722.42</v>
      </c>
      <c r="AS18" s="25">
        <f>MIN(Table11[Precipitation (mm)])</f>
        <v>582.9</v>
      </c>
      <c r="AT18" s="25">
        <f>MAX(Table11[Precipitation (mm)])</f>
        <v>1212.48</v>
      </c>
      <c r="AU18" s="35">
        <f>(Table11[[#This Row],[Precipitation (mm)]]-Table11[[#This Row],[Min]])/(Table11[[#This Row],[Max]]-Table11[[#This Row],[Min]])</f>
        <v>0.22160805616442703</v>
      </c>
    </row>
    <row r="19" spans="1:47" x14ac:dyDescent="0.3">
      <c r="A19" s="25">
        <f>105.5*1000</f>
        <v>105500</v>
      </c>
      <c r="B19">
        <f>MIN(Table2[Consumption])</f>
        <v>12000</v>
      </c>
      <c r="C19" s="25">
        <f>MAX(Table2[Consumption])</f>
        <v>579900</v>
      </c>
      <c r="D19" s="35">
        <f>(Table2[[#This Row],[Consumption]]-Table2[[#This Row],[Min]])/(Table2[[#This Row],[Max]]-Table2[[#This Row],[Min]])</f>
        <v>0.16464166226448318</v>
      </c>
      <c r="F19" s="25">
        <f>232*1000</f>
        <v>232000</v>
      </c>
      <c r="G19" s="25">
        <f>MIN(Table3[Production])</f>
        <v>100000</v>
      </c>
      <c r="H19" s="25">
        <f>MAX(Table3[Production])</f>
        <v>1789900</v>
      </c>
      <c r="I19" s="35">
        <f>(Table3[[#This Row],[Production]]-Table3[[#This Row],[Min]])/(Table3[[#This Row],[Max]]-Table3[[#This Row],[Min]])</f>
        <v>7.8111130836144155E-2</v>
      </c>
      <c r="K19" s="25">
        <f>24.5*1000</f>
        <v>24500</v>
      </c>
      <c r="L19" s="25">
        <f>MIN(Table4[Exportation])</f>
        <v>19600</v>
      </c>
      <c r="M19" s="25">
        <f>MAX(Table4[Exportation])</f>
        <v>468100</v>
      </c>
      <c r="N19" s="35">
        <f>(Table4[[#This Row],[Exportation]]-Table4[[#This Row],[Min]])/(Table4[[#This Row],[Max]]-Table4[[#This Row],[Min]])</f>
        <v>1.092530657748049E-2</v>
      </c>
      <c r="P19" s="25">
        <f>0*1000</f>
        <v>0</v>
      </c>
      <c r="Q19" s="25">
        <f>MIN(Table5[Importation])</f>
        <v>0</v>
      </c>
      <c r="R19" s="25">
        <f>MAX(Table5[Importation])</f>
        <v>151900</v>
      </c>
      <c r="S19" s="35">
        <f>(Table5[[#This Row],[Importation]]-Table5[[#This Row],[Min]])/(Table5[[#This Row],[Max]]-Table5[[#This Row],[Min]])</f>
        <v>0</v>
      </c>
      <c r="T19" s="1">
        <f>1-Table5[[#This Row],[Importation_N]]</f>
        <v>1</v>
      </c>
      <c r="V19" s="26">
        <f>175*1000</f>
        <v>175000</v>
      </c>
      <c r="W19" s="26">
        <f>MIN(Table6[Production_Olives])</f>
        <v>15600</v>
      </c>
      <c r="X19" s="26">
        <f>MAX(Table6[Production_Olives])</f>
        <v>659300</v>
      </c>
      <c r="Y19" s="39">
        <f>(Table6[[#This Row],[Production_Olives]]-Table6[[#This Row],[Min]])/(Table6[[#This Row],[Max]]-Table6[[#This Row],[Min]])</f>
        <v>0.24763088395215163</v>
      </c>
      <c r="AA19" s="13">
        <v>8.6999999999999994E-2</v>
      </c>
      <c r="AB19" s="13">
        <f>MIN(Table8[PIB])</f>
        <v>-9.1999999999999998E-2</v>
      </c>
      <c r="AC19" s="13">
        <f>MAX(Table8[PIB])</f>
        <v>8.8999999999999996E-2</v>
      </c>
      <c r="AD19" s="43">
        <f>(Table8[[#This Row],[PIB]]-Table8[[#This Row],[Min]])/(Table8[[#This Row],[Max]]-Table8[[#This Row],[Min]])</f>
        <v>0.98895027624309395</v>
      </c>
      <c r="AF19" s="13">
        <v>1.2E-2</v>
      </c>
      <c r="AG19" s="13">
        <f>MIN(Table9[Inflation])</f>
        <v>-1.2E-2</v>
      </c>
      <c r="AH19" s="13">
        <f>MAX(Table9[Inflation])</f>
        <v>9.6000000000000002E-2</v>
      </c>
      <c r="AI19" s="43">
        <f>(Table9[[#This Row],[Inflation]]-Table9[[#This Row],[Min]])/(Table9[[#This Row],[Max]]-Table9[[#This Row],[Min]])</f>
        <v>0.22222222222222224</v>
      </c>
      <c r="AJ19" s="45">
        <f>1-Table9[[#This Row],[Inflation_N]]</f>
        <v>0.77777777777777779</v>
      </c>
      <c r="AL19" s="25">
        <v>260.57058951219523</v>
      </c>
      <c r="AM19" s="25">
        <f>MIN(Table10[PriceAVG])</f>
        <v>164.12043561896019</v>
      </c>
      <c r="AN19" s="25">
        <f>MAX(Table10[PriceAVG])</f>
        <v>840.98425196850394</v>
      </c>
      <c r="AO19" s="35">
        <f>(Table10[[#This Row],[PriceAVG]]-Table10[[#This Row],[Min]])/(Table10[[#This Row],[Max]]-Table10[[#This Row],[Min]])</f>
        <v>0.14249565653163321</v>
      </c>
      <c r="AP19" s="1">
        <f>1-Table10[[#This Row],[Inflation_N]]</f>
        <v>0.85750434346836679</v>
      </c>
      <c r="AR19" s="25">
        <v>900.71</v>
      </c>
      <c r="AS19" s="25">
        <f>MIN(Table11[Precipitation (mm)])</f>
        <v>582.9</v>
      </c>
      <c r="AT19" s="25">
        <f>MAX(Table11[Precipitation (mm)])</f>
        <v>1212.48</v>
      </c>
      <c r="AU19" s="35">
        <f>(Table11[[#This Row],[Precipitation (mm)]]-Table11[[#This Row],[Min]])/(Table11[[#This Row],[Max]]-Table11[[#This Row],[Min]])</f>
        <v>0.50479684869277941</v>
      </c>
    </row>
    <row r="20" spans="1:47" x14ac:dyDescent="0.3">
      <c r="A20" s="24">
        <f>96.5*1000</f>
        <v>96500</v>
      </c>
      <c r="B20">
        <f>MIN(Table2[Consumption])</f>
        <v>12000</v>
      </c>
      <c r="C20" s="25">
        <f>MAX(Table2[Consumption])</f>
        <v>579900</v>
      </c>
      <c r="D20" s="35">
        <f>(Table2[[#This Row],[Consumption]]-Table2[[#This Row],[Min]])/(Table2[[#This Row],[Max]]-Table2[[#This Row],[Min]])</f>
        <v>0.14879380172565593</v>
      </c>
      <c r="F20" s="24">
        <f>345*1000</f>
        <v>345000</v>
      </c>
      <c r="G20" s="24">
        <f>MIN(Table3[Production])</f>
        <v>100000</v>
      </c>
      <c r="H20" s="24">
        <f>MAX(Table3[Production])</f>
        <v>1789900</v>
      </c>
      <c r="I20" s="35">
        <f>(Table3[[#This Row],[Production]]-Table3[[#This Row],[Min]])/(Table3[[#This Row],[Max]]-Table3[[#This Row],[Min]])</f>
        <v>0.144978992839813</v>
      </c>
      <c r="K20" s="24">
        <f>23.3*1000</f>
        <v>23300</v>
      </c>
      <c r="L20" s="25">
        <f>MIN(Table4[Exportation])</f>
        <v>19600</v>
      </c>
      <c r="M20" s="25">
        <f>MAX(Table4[Exportation])</f>
        <v>468100</v>
      </c>
      <c r="N20" s="35">
        <f>(Table4[[#This Row],[Exportation]]-Table4[[#This Row],[Min]])/(Table4[[#This Row],[Max]]-Table4[[#This Row],[Min]])</f>
        <v>8.2497212931995547E-3</v>
      </c>
      <c r="P20" s="24">
        <f>0.2*1000</f>
        <v>200</v>
      </c>
      <c r="Q20" s="25">
        <f>MIN(Table5[Importation])</f>
        <v>0</v>
      </c>
      <c r="R20" s="25">
        <f>MAX(Table5[Importation])</f>
        <v>151900</v>
      </c>
      <c r="S20" s="35">
        <f>(Table5[[#This Row],[Importation]]-Table5[[#This Row],[Min]])/(Table5[[#This Row],[Max]]-Table5[[#This Row],[Min]])</f>
        <v>1.3166556945358788E-3</v>
      </c>
      <c r="T20" s="1">
        <f>1-Table5[[#This Row],[Importation_N]]</f>
        <v>0.99868334430546413</v>
      </c>
      <c r="V20" s="27">
        <f>325*1000</f>
        <v>325000</v>
      </c>
      <c r="W20" s="26">
        <f>MIN(Table6[Production_Olives])</f>
        <v>15600</v>
      </c>
      <c r="X20" s="26">
        <f>MAX(Table6[Production_Olives])</f>
        <v>659300</v>
      </c>
      <c r="Y20" s="39">
        <f>(Table6[[#This Row],[Production_Olives]]-Table6[[#This Row],[Min]])/(Table6[[#This Row],[Max]]-Table6[[#This Row],[Min]])</f>
        <v>0.48065869193723787</v>
      </c>
      <c r="AA20" s="12">
        <v>5.5E-2</v>
      </c>
      <c r="AB20" s="13">
        <f>MIN(Table8[PIB])</f>
        <v>-9.1999999999999998E-2</v>
      </c>
      <c r="AC20" s="13">
        <f>MAX(Table8[PIB])</f>
        <v>8.8999999999999996E-2</v>
      </c>
      <c r="AD20" s="43">
        <f>(Table8[[#This Row],[PIB]]-Table8[[#This Row],[Min]])/(Table8[[#This Row],[Max]]-Table8[[#This Row],[Min]])</f>
        <v>0.81215469613259672</v>
      </c>
      <c r="AF20" s="12">
        <v>9.6000000000000002E-2</v>
      </c>
      <c r="AG20" s="13">
        <f>MIN(Table9[Inflation])</f>
        <v>-1.2E-2</v>
      </c>
      <c r="AH20" s="13">
        <f>MAX(Table9[Inflation])</f>
        <v>9.6000000000000002E-2</v>
      </c>
      <c r="AI20" s="43">
        <f>(Table9[[#This Row],[Inflation]]-Table9[[#This Row],[Min]])/(Table9[[#This Row],[Max]]-Table9[[#This Row],[Min]])</f>
        <v>1</v>
      </c>
      <c r="AJ20" s="45">
        <f>1-Table9[[#This Row],[Inflation_N]]</f>
        <v>0</v>
      </c>
      <c r="AL20" s="24">
        <v>312.26561630218703</v>
      </c>
      <c r="AM20" s="25">
        <f>MIN(Table10[PriceAVG])</f>
        <v>164.12043561896019</v>
      </c>
      <c r="AN20" s="25">
        <f>MAX(Table10[PriceAVG])</f>
        <v>840.98425196850394</v>
      </c>
      <c r="AO20" s="35">
        <f>(Table10[[#This Row],[PriceAVG]]-Table10[[#This Row],[Min]])/(Table10[[#This Row],[Max]]-Table10[[#This Row],[Min]])</f>
        <v>0.21886999586150457</v>
      </c>
      <c r="AP20" s="1">
        <f>1-Table10[[#This Row],[Inflation_N]]</f>
        <v>0.78113000413849543</v>
      </c>
      <c r="AR20" s="24">
        <v>749.6</v>
      </c>
      <c r="AS20" s="25">
        <f>MIN(Table11[Precipitation (mm)])</f>
        <v>582.9</v>
      </c>
      <c r="AT20" s="25">
        <f>MAX(Table11[Precipitation (mm)])</f>
        <v>1212.48</v>
      </c>
      <c r="AU20" s="35">
        <f>(Table11[[#This Row],[Precipitation (mm)]]-Table11[[#This Row],[Min]])/(Table11[[#This Row],[Max]]-Table11[[#This Row],[Min]])</f>
        <v>0.26477969439944093</v>
      </c>
    </row>
    <row r="21" spans="1:47" x14ac:dyDescent="0.3">
      <c r="A21" s="25">
        <f>90.5*1000</f>
        <v>90500</v>
      </c>
      <c r="B21">
        <f>MIN(Table2[Consumption])</f>
        <v>12000</v>
      </c>
      <c r="C21" s="25">
        <f>MAX(Table2[Consumption])</f>
        <v>579900</v>
      </c>
      <c r="D21" s="35">
        <f>(Table2[[#This Row],[Consumption]]-Table2[[#This Row],[Min]])/(Table2[[#This Row],[Max]]-Table2[[#This Row],[Min]])</f>
        <v>0.13822856136643774</v>
      </c>
      <c r="F21" s="25">
        <f>175*1000</f>
        <v>175000</v>
      </c>
      <c r="G21" s="25">
        <f>MIN(Table3[Production])</f>
        <v>100000</v>
      </c>
      <c r="H21" s="25">
        <f>MAX(Table3[Production])</f>
        <v>1789900</v>
      </c>
      <c r="I21" s="35">
        <f>(Table3[[#This Row],[Production]]-Table3[[#This Row],[Min]])/(Table3[[#This Row],[Max]]-Table3[[#This Row],[Min]])</f>
        <v>4.4381324338718268E-2</v>
      </c>
      <c r="K21" s="25">
        <f>19.6*1000</f>
        <v>19600</v>
      </c>
      <c r="L21" s="25">
        <f>MIN(Table4[Exportation])</f>
        <v>19600</v>
      </c>
      <c r="M21" s="25">
        <f>MAX(Table4[Exportation])</f>
        <v>468100</v>
      </c>
      <c r="N21" s="35">
        <f>(Table4[[#This Row],[Exportation]]-Table4[[#This Row],[Min]])/(Table4[[#This Row],[Max]]-Table4[[#This Row],[Min]])</f>
        <v>0</v>
      </c>
      <c r="P21" s="25">
        <f>0.3*1000</f>
        <v>300</v>
      </c>
      <c r="Q21" s="25">
        <f>MIN(Table5[Importation])</f>
        <v>0</v>
      </c>
      <c r="R21" s="25">
        <f>MAX(Table5[Importation])</f>
        <v>151900</v>
      </c>
      <c r="S21" s="35">
        <f>(Table5[[#This Row],[Importation]]-Table5[[#This Row],[Min]])/(Table5[[#This Row],[Max]]-Table5[[#This Row],[Min]])</f>
        <v>1.9749835418038184E-3</v>
      </c>
      <c r="T21" s="1">
        <f>1-Table5[[#This Row],[Importation_N]]</f>
        <v>0.99802501645819619</v>
      </c>
      <c r="V21" s="26">
        <f>110*1000</f>
        <v>110000</v>
      </c>
      <c r="W21" s="26">
        <f>MIN(Table6[Production_Olives])</f>
        <v>15600</v>
      </c>
      <c r="X21" s="26">
        <f>MAX(Table6[Production_Olives])</f>
        <v>659300</v>
      </c>
      <c r="Y21" s="39">
        <f>(Table6[[#This Row],[Production_Olives]]-Table6[[#This Row],[Min]])/(Table6[[#This Row],[Max]]-Table6[[#This Row],[Min]])</f>
        <v>0.14665216715861426</v>
      </c>
      <c r="AA21" s="13">
        <v>2.1000000000000001E-2</v>
      </c>
      <c r="AB21" s="13">
        <f>MIN(Table8[PIB])</f>
        <v>-9.1999999999999998E-2</v>
      </c>
      <c r="AC21" s="13">
        <f>MAX(Table8[PIB])</f>
        <v>8.8999999999999996E-2</v>
      </c>
      <c r="AD21" s="43">
        <f>(Table8[[#This Row],[PIB]]-Table8[[#This Row],[Min]])/(Table8[[#This Row],[Max]]-Table8[[#This Row],[Min]])</f>
        <v>0.62430939226519344</v>
      </c>
      <c r="AF21" s="13">
        <v>3.5000000000000003E-2</v>
      </c>
      <c r="AG21" s="13">
        <f>MIN(Table9[Inflation])</f>
        <v>-1.2E-2</v>
      </c>
      <c r="AH21" s="13">
        <f>MAX(Table9[Inflation])</f>
        <v>9.6000000000000002E-2</v>
      </c>
      <c r="AI21" s="43">
        <f>(Table9[[#This Row],[Inflation]]-Table9[[#This Row],[Min]])/(Table9[[#This Row],[Max]]-Table9[[#This Row],[Min]])</f>
        <v>0.43518518518518517</v>
      </c>
      <c r="AJ21" s="45">
        <f>1-Table9[[#This Row],[Inflation_N]]</f>
        <v>0.56481481481481488</v>
      </c>
      <c r="AL21" s="25">
        <v>549.13660973236028</v>
      </c>
      <c r="AM21" s="25">
        <f>MIN(Table10[PriceAVG])</f>
        <v>164.12043561896019</v>
      </c>
      <c r="AN21" s="25">
        <f>MAX(Table10[PriceAVG])</f>
        <v>840.98425196850394</v>
      </c>
      <c r="AO21" s="35">
        <f>(Table10[[#This Row],[PriceAVG]]-Table10[[#This Row],[Min]])/(Table10[[#This Row],[Max]]-Table10[[#This Row],[Min]])</f>
        <v>0.56882369069433503</v>
      </c>
      <c r="AP21" s="1">
        <f>1-Table10[[#This Row],[Inflation_N]]</f>
        <v>0.43117630930566497</v>
      </c>
      <c r="AR21" s="25">
        <v>838.68</v>
      </c>
      <c r="AS21" s="25">
        <f>MIN(Table11[Precipitation (mm)])</f>
        <v>582.9</v>
      </c>
      <c r="AT21" s="25">
        <f>MAX(Table11[Precipitation (mm)])</f>
        <v>1212.48</v>
      </c>
      <c r="AU21" s="35">
        <f>(Table11[[#This Row],[Precipitation (mm)]]-Table11[[#This Row],[Min]])/(Table11[[#This Row],[Max]]-Table11[[#This Row],[Min]])</f>
        <v>0.4062708472314876</v>
      </c>
    </row>
    <row r="22" spans="1:47" x14ac:dyDescent="0.3">
      <c r="A22" s="24">
        <f>110*1000</f>
        <v>110000</v>
      </c>
      <c r="B22">
        <f>MIN(Table2[Consumption])</f>
        <v>12000</v>
      </c>
      <c r="C22" s="25">
        <f>MAX(Table2[Consumption])</f>
        <v>579900</v>
      </c>
      <c r="D22" s="35">
        <f>(Table2[[#This Row],[Consumption]]-Table2[[#This Row],[Min]])/(Table2[[#This Row],[Max]]-Table2[[#This Row],[Min]])</f>
        <v>0.17256559253389681</v>
      </c>
      <c r="F22" s="24">
        <f>250*1000</f>
        <v>250000</v>
      </c>
      <c r="G22" s="24">
        <f>MIN(Table3[Production])</f>
        <v>100000</v>
      </c>
      <c r="H22" s="24">
        <f>MAX(Table3[Production])</f>
        <v>1789900</v>
      </c>
      <c r="I22" s="35">
        <f>(Table3[[#This Row],[Production]]-Table3[[#This Row],[Min]])/(Table3[[#This Row],[Max]]-Table3[[#This Row],[Min]])</f>
        <v>8.8762648677436537E-2</v>
      </c>
      <c r="K22" s="24">
        <f>20*1000</f>
        <v>20000</v>
      </c>
      <c r="L22" s="25">
        <f>MIN(Table4[Exportation])</f>
        <v>19600</v>
      </c>
      <c r="M22" s="25">
        <f>MAX(Table4[Exportation])</f>
        <v>468100</v>
      </c>
      <c r="N22" s="35">
        <f>(Table4[[#This Row],[Exportation]]-Table4[[#This Row],[Min]])/(Table4[[#This Row],[Max]]-Table4[[#This Row],[Min]])</f>
        <v>8.9186176142697885E-4</v>
      </c>
      <c r="P22" s="24">
        <f>0*1000</f>
        <v>0</v>
      </c>
      <c r="Q22" s="25">
        <f>MIN(Table5[Importation])</f>
        <v>0</v>
      </c>
      <c r="R22" s="25">
        <f>MAX(Table5[Importation])</f>
        <v>151900</v>
      </c>
      <c r="S22" s="35">
        <f>(Table5[[#This Row],[Importation]]-Table5[[#This Row],[Min]])/(Table5[[#This Row],[Max]]-Table5[[#This Row],[Min]])</f>
        <v>0</v>
      </c>
      <c r="T22" s="1">
        <f>1-Table5[[#This Row],[Importation_N]]</f>
        <v>1</v>
      </c>
      <c r="V22" s="27">
        <f>238.5*1000</f>
        <v>238500</v>
      </c>
      <c r="W22" s="26">
        <f>MIN(Table6[Production_Olives])</f>
        <v>15600</v>
      </c>
      <c r="X22" s="26">
        <f>MAX(Table6[Production_Olives])</f>
        <v>659300</v>
      </c>
      <c r="Y22" s="39">
        <f>(Table6[[#This Row],[Production_Olives]]-Table6[[#This Row],[Min]])/(Table6[[#This Row],[Max]]-Table6[[#This Row],[Min]])</f>
        <v>0.34627932266583811</v>
      </c>
      <c r="AA22" s="12">
        <v>2.1000000000000001E-2</v>
      </c>
      <c r="AB22" s="13">
        <f>MIN(Table8[PIB])</f>
        <v>-9.1999999999999998E-2</v>
      </c>
      <c r="AC22" s="13">
        <f>MAX(Table8[PIB])</f>
        <v>8.8999999999999996E-2</v>
      </c>
      <c r="AD22" s="43">
        <f>(Table8[[#This Row],[PIB]]-Table8[[#This Row],[Min]])/(Table8[[#This Row],[Max]]-Table8[[#This Row],[Min]])</f>
        <v>0.62430939226519344</v>
      </c>
      <c r="AF22" s="12">
        <v>2.7E-2</v>
      </c>
      <c r="AG22" s="13">
        <f>MIN(Table9[Inflation])</f>
        <v>-1.2E-2</v>
      </c>
      <c r="AH22" s="13">
        <f>MAX(Table9[Inflation])</f>
        <v>9.6000000000000002E-2</v>
      </c>
      <c r="AI22" s="43">
        <f>(Table9[[#This Row],[Inflation]]-Table9[[#This Row],[Min]])/(Table9[[#This Row],[Max]]-Table9[[#This Row],[Min]])</f>
        <v>0.3611111111111111</v>
      </c>
      <c r="AJ22" s="45">
        <f>1-Table9[[#This Row],[Inflation_N]]</f>
        <v>0.63888888888888884</v>
      </c>
      <c r="AL22" s="24">
        <v>652.32392783783769</v>
      </c>
      <c r="AM22" s="25">
        <f>MIN(Table10[PriceAVG])</f>
        <v>164.12043561896019</v>
      </c>
      <c r="AN22" s="25">
        <f>MAX(Table10[PriceAVG])</f>
        <v>840.98425196850394</v>
      </c>
      <c r="AO22" s="35">
        <f>(Table10[[#This Row],[PriceAVG]]-Table10[[#This Row],[Min]])/(Table10[[#This Row],[Max]]-Table10[[#This Row],[Min]])</f>
        <v>0.72127284754539323</v>
      </c>
      <c r="AP22" s="1">
        <f>1-Table10[[#This Row],[Inflation_N]]</f>
        <v>0.27872715245460677</v>
      </c>
      <c r="AR22" s="24">
        <v>705.26</v>
      </c>
      <c r="AS22" s="25">
        <f>MIN(Table11[Precipitation (mm)])</f>
        <v>582.9</v>
      </c>
      <c r="AT22" s="25">
        <f>MAX(Table11[Precipitation (mm)])</f>
        <v>1212.48</v>
      </c>
      <c r="AU22" s="35">
        <f>(Table11[[#This Row],[Precipitation (mm)]]-Table11[[#This Row],[Min]])/(Table11[[#This Row],[Max]]-Table11[[#This Row],[Min]])</f>
        <v>0.19435179008227707</v>
      </c>
    </row>
    <row r="23" spans="1:47" x14ac:dyDescent="0.3">
      <c r="A23" s="25">
        <f>417.3*1000</f>
        <v>417300</v>
      </c>
      <c r="B23">
        <f>MIN(Table2[Consumption])</f>
        <v>12000</v>
      </c>
      <c r="C23" s="25">
        <f>MAX(Table2[Consumption])</f>
        <v>579900</v>
      </c>
      <c r="D23" s="35">
        <f>(Table2[[#This Row],[Consumption]]-Table2[[#This Row],[Min]])/(Table2[[#This Row],[Max]]-Table2[[#This Row],[Min]])</f>
        <v>0.71368198626518753</v>
      </c>
      <c r="F23" s="25">
        <f>173.6*1000</f>
        <v>173600</v>
      </c>
      <c r="G23" s="25">
        <f>MIN(Table3[Production])</f>
        <v>100000</v>
      </c>
      <c r="H23" s="25">
        <f>MAX(Table3[Production])</f>
        <v>1789900</v>
      </c>
      <c r="I23" s="35">
        <f>(Table3[[#This Row],[Production]]-Table3[[#This Row],[Min]])/(Table3[[#This Row],[Max]]-Table3[[#This Row],[Min]])</f>
        <v>4.3552872951062194E-2</v>
      </c>
      <c r="K23" s="25">
        <f>197*1000</f>
        <v>197000</v>
      </c>
      <c r="L23" s="25">
        <f>MIN(Table4[Exportation])</f>
        <v>19600</v>
      </c>
      <c r="M23" s="25">
        <f>MAX(Table4[Exportation])</f>
        <v>468100</v>
      </c>
      <c r="N23" s="35">
        <f>(Table4[[#This Row],[Exportation]]-Table4[[#This Row],[Min]])/(Table4[[#This Row],[Max]]-Table4[[#This Row],[Min]])</f>
        <v>0.39554069119286511</v>
      </c>
      <c r="P23" s="25">
        <f>48.6*1000</f>
        <v>48600</v>
      </c>
      <c r="Q23" s="25">
        <f>MIN(Table5[Importation])</f>
        <v>0</v>
      </c>
      <c r="R23" s="25">
        <f>MAX(Table5[Importation])</f>
        <v>151900</v>
      </c>
      <c r="S23" s="35">
        <f>(Table5[[#This Row],[Importation]]-Table5[[#This Row],[Min]])/(Table5[[#This Row],[Max]]-Table5[[#This Row],[Min]])</f>
        <v>0.31994733377221857</v>
      </c>
      <c r="T23" s="1">
        <f>1-Table5[[#This Row],[Importation_N]]</f>
        <v>0.68005266622778149</v>
      </c>
      <c r="V23" s="26">
        <f>40*1000</f>
        <v>40000</v>
      </c>
      <c r="W23" s="26">
        <f>MIN(Table6[Production_Olives])</f>
        <v>15600</v>
      </c>
      <c r="X23" s="26">
        <f>MAX(Table6[Production_Olives])</f>
        <v>659300</v>
      </c>
      <c r="Y23" s="39">
        <f>(Table6[[#This Row],[Production_Olives]]-Table6[[#This Row],[Min]])/(Table6[[#This Row],[Max]]-Table6[[#This Row],[Min]])</f>
        <v>3.7905856765574023E-2</v>
      </c>
      <c r="AA23" s="13">
        <v>8.9999999999999993E-3</v>
      </c>
      <c r="AB23" s="13">
        <f>MIN(Table8[PIB])</f>
        <v>-9.1999999999999998E-2</v>
      </c>
      <c r="AC23" s="13">
        <f>MAX(Table8[PIB])</f>
        <v>8.8999999999999996E-2</v>
      </c>
      <c r="AD23" s="43">
        <f>(Table8[[#This Row],[PIB]]-Table8[[#This Row],[Min]])/(Table8[[#This Row],[Max]]-Table8[[#This Row],[Min]])</f>
        <v>0.55801104972375692</v>
      </c>
      <c r="AF23" s="13">
        <v>1.0999999999999999E-2</v>
      </c>
      <c r="AG23" s="13">
        <f>MIN(Table9[Inflation])</f>
        <v>-1.2E-2</v>
      </c>
      <c r="AH23" s="13">
        <f>MAX(Table9[Inflation])</f>
        <v>9.6000000000000002E-2</v>
      </c>
      <c r="AI23" s="43">
        <f>(Table9[[#This Row],[Inflation]]-Table9[[#This Row],[Min]])/(Table9[[#This Row],[Max]]-Table9[[#This Row],[Min]])</f>
        <v>0.21296296296296297</v>
      </c>
      <c r="AJ23" s="45">
        <f>1-Table9[[#This Row],[Inflation_N]]</f>
        <v>0.78703703703703698</v>
      </c>
      <c r="AL23" s="25">
        <v>316.12</v>
      </c>
      <c r="AM23" s="25">
        <f>MIN(Table10[PriceAVG])</f>
        <v>164.12043561896019</v>
      </c>
      <c r="AN23" s="25">
        <f>MAX(Table10[PriceAVG])</f>
        <v>840.98425196850394</v>
      </c>
      <c r="AO23" s="35">
        <f>(Table10[[#This Row],[PriceAVG]]-Table10[[#This Row],[Min]])/(Table10[[#This Row],[Max]]-Table10[[#This Row],[Min]])</f>
        <v>0.2245644702959638</v>
      </c>
      <c r="AP23" s="1">
        <f>1-Table10[[#This Row],[Inflation_N]]</f>
        <v>0.77543552970403617</v>
      </c>
      <c r="AR23" s="25">
        <v>1212.48</v>
      </c>
      <c r="AS23" s="25">
        <f>MIN(Table11[Precipitation (mm)])</f>
        <v>582.9</v>
      </c>
      <c r="AT23" s="25">
        <f>MAX(Table11[Precipitation (mm)])</f>
        <v>1212.48</v>
      </c>
      <c r="AU23" s="35">
        <f>(Table11[[#This Row],[Precipitation (mm)]]-Table11[[#This Row],[Min]])/(Table11[[#This Row],[Max]]-Table11[[#This Row],[Min]])</f>
        <v>1</v>
      </c>
    </row>
    <row r="24" spans="1:47" x14ac:dyDescent="0.3">
      <c r="A24" s="24">
        <f>407.6*1000</f>
        <v>407600</v>
      </c>
      <c r="B24">
        <f>MIN(Table2[Consumption])</f>
        <v>12000</v>
      </c>
      <c r="C24" s="25">
        <f>MAX(Table2[Consumption])</f>
        <v>579900</v>
      </c>
      <c r="D24" s="35">
        <f>(Table2[[#This Row],[Consumption]]-Table2[[#This Row],[Min]])/(Table2[[#This Row],[Max]]-Table2[[#This Row],[Min]])</f>
        <v>0.69660151435111817</v>
      </c>
      <c r="F24" s="24">
        <f>366.5*1000</f>
        <v>366500</v>
      </c>
      <c r="G24" s="24">
        <f>MIN(Table3[Production])</f>
        <v>100000</v>
      </c>
      <c r="H24" s="24">
        <f>MAX(Table3[Production])</f>
        <v>1789900</v>
      </c>
      <c r="I24" s="35">
        <f>(Table3[[#This Row],[Production]]-Table3[[#This Row],[Min]])/(Table3[[#This Row],[Max]]-Table3[[#This Row],[Min]])</f>
        <v>0.15770163915024557</v>
      </c>
      <c r="K24" s="24">
        <f>80.2*1000</f>
        <v>80200</v>
      </c>
      <c r="L24" s="25">
        <f>MIN(Table4[Exportation])</f>
        <v>19600</v>
      </c>
      <c r="M24" s="25">
        <f>MAX(Table4[Exportation])</f>
        <v>468100</v>
      </c>
      <c r="N24" s="35">
        <f>(Table4[[#This Row],[Exportation]]-Table4[[#This Row],[Min]])/(Table4[[#This Row],[Max]]-Table4[[#This Row],[Min]])</f>
        <v>0.1351170568561873</v>
      </c>
      <c r="P24" s="24">
        <f>81.8*1000</f>
        <v>81800</v>
      </c>
      <c r="Q24" s="25">
        <f>MIN(Table5[Importation])</f>
        <v>0</v>
      </c>
      <c r="R24" s="25">
        <f>MAX(Table5[Importation])</f>
        <v>151900</v>
      </c>
      <c r="S24" s="35">
        <f>(Table5[[#This Row],[Importation]]-Table5[[#This Row],[Min]])/(Table5[[#This Row],[Max]]-Table5[[#This Row],[Min]])</f>
        <v>0.53851217906517446</v>
      </c>
      <c r="T24" s="1">
        <f>1-Table5[[#This Row],[Importation_N]]</f>
        <v>0.46148782093482554</v>
      </c>
      <c r="V24" s="27">
        <f>60*1000</f>
        <v>60000</v>
      </c>
      <c r="W24" s="26">
        <f>MIN(Table6[Production_Olives])</f>
        <v>15600</v>
      </c>
      <c r="X24" s="26">
        <f>MAX(Table6[Production_Olives])</f>
        <v>659300</v>
      </c>
      <c r="Y24" s="39">
        <f>(Table6[[#This Row],[Production_Olives]]-Table6[[#This Row],[Min]])/(Table6[[#This Row],[Max]]-Table6[[#This Row],[Min]])</f>
        <v>6.8976231163585519E-2</v>
      </c>
      <c r="AA24" s="12">
        <v>6.0000000000000001E-3</v>
      </c>
      <c r="AB24" s="13">
        <f>MIN(Table8[PIB])</f>
        <v>-9.1999999999999998E-2</v>
      </c>
      <c r="AC24" s="13">
        <f>MAX(Table8[PIB])</f>
        <v>8.8999999999999996E-2</v>
      </c>
      <c r="AD24" s="43">
        <f>(Table8[[#This Row],[PIB]]-Table8[[#This Row],[Min]])/(Table8[[#This Row],[Max]]-Table8[[#This Row],[Min]])</f>
        <v>0.54143646408839785</v>
      </c>
      <c r="AF24" s="12">
        <v>6.0000000000000001E-3</v>
      </c>
      <c r="AG24" s="13">
        <f>MIN(Table9[Inflation])</f>
        <v>-1.2E-2</v>
      </c>
      <c r="AH24" s="13">
        <f>MAX(Table9[Inflation])</f>
        <v>9.6000000000000002E-2</v>
      </c>
      <c r="AI24" s="43">
        <f>(Table9[[#This Row],[Inflation]]-Table9[[#This Row],[Min]])/(Table9[[#This Row],[Max]]-Table9[[#This Row],[Min]])</f>
        <v>0.16666666666666669</v>
      </c>
      <c r="AJ24" s="45">
        <f>1-Table9[[#This Row],[Inflation_N]]</f>
        <v>0.83333333333333326</v>
      </c>
      <c r="AL24" s="24">
        <v>288.07849813863942</v>
      </c>
      <c r="AM24" s="25">
        <f>MIN(Table10[PriceAVG])</f>
        <v>164.12043561896019</v>
      </c>
      <c r="AN24" s="25">
        <f>MAX(Table10[PriceAVG])</f>
        <v>840.98425196850394</v>
      </c>
      <c r="AO24" s="35">
        <f>(Table10[[#This Row],[PriceAVG]]-Table10[[#This Row],[Min]])/(Table10[[#This Row],[Max]]-Table10[[#This Row],[Min]])</f>
        <v>0.18313589754023019</v>
      </c>
      <c r="AP24" s="1">
        <f>1-Table10[[#This Row],[Inflation_N]]</f>
        <v>0.81686410245976981</v>
      </c>
      <c r="AR24" s="24">
        <v>1170.8499999999999</v>
      </c>
      <c r="AS24" s="25">
        <f>MIN(Table11[Precipitation (mm)])</f>
        <v>582.9</v>
      </c>
      <c r="AT24" s="25">
        <f>MAX(Table11[Precipitation (mm)])</f>
        <v>1212.48</v>
      </c>
      <c r="AU24" s="35">
        <f>(Table11[[#This Row],[Precipitation (mm)]]-Table11[[#This Row],[Min]])/(Table11[[#This Row],[Max]]-Table11[[#This Row],[Min]])</f>
        <v>0.933876552622383</v>
      </c>
    </row>
    <row r="25" spans="1:47" x14ac:dyDescent="0.3">
      <c r="A25" s="25">
        <f>421.9*1000</f>
        <v>421900</v>
      </c>
      <c r="B25">
        <f>MIN(Table2[Consumption])</f>
        <v>12000</v>
      </c>
      <c r="C25" s="25">
        <f>MAX(Table2[Consumption])</f>
        <v>579900</v>
      </c>
      <c r="D25" s="35">
        <f>(Table2[[#This Row],[Consumption]]-Table2[[#This Row],[Min]])/(Table2[[#This Row],[Max]]-Table2[[#This Row],[Min]])</f>
        <v>0.72178200387392144</v>
      </c>
      <c r="F25" s="25">
        <f>273.5*1000</f>
        <v>273500</v>
      </c>
      <c r="G25" s="25">
        <f>MIN(Table3[Production])</f>
        <v>100000</v>
      </c>
      <c r="H25" s="25">
        <f>MAX(Table3[Production])</f>
        <v>1789900</v>
      </c>
      <c r="I25" s="35">
        <f>(Table3[[#This Row],[Production]]-Table3[[#This Row],[Min]])/(Table3[[#This Row],[Max]]-Table3[[#This Row],[Min]])</f>
        <v>0.10266879697023493</v>
      </c>
      <c r="K25" s="25">
        <f>76.1*1000</f>
        <v>76100</v>
      </c>
      <c r="L25" s="25">
        <f>MIN(Table4[Exportation])</f>
        <v>19600</v>
      </c>
      <c r="M25" s="25">
        <f>MAX(Table4[Exportation])</f>
        <v>468100</v>
      </c>
      <c r="N25" s="35">
        <f>(Table4[[#This Row],[Exportation]]-Table4[[#This Row],[Min]])/(Table4[[#This Row],[Max]]-Table4[[#This Row],[Min]])</f>
        <v>0.12597547380156077</v>
      </c>
      <c r="P25" s="25">
        <f>51.2*1000</f>
        <v>51200</v>
      </c>
      <c r="Q25" s="25">
        <f>MIN(Table5[Importation])</f>
        <v>0</v>
      </c>
      <c r="R25" s="25">
        <f>MAX(Table5[Importation])</f>
        <v>151900</v>
      </c>
      <c r="S25" s="35">
        <f>(Table5[[#This Row],[Importation]]-Table5[[#This Row],[Min]])/(Table5[[#This Row],[Max]]-Table5[[#This Row],[Min]])</f>
        <v>0.33706385780118497</v>
      </c>
      <c r="T25" s="1">
        <f>1-Table5[[#This Row],[Importation_N]]</f>
        <v>0.66293614219881503</v>
      </c>
      <c r="V25" s="26">
        <f>83*1000</f>
        <v>83000</v>
      </c>
      <c r="W25" s="26">
        <f>MIN(Table6[Production_Olives])</f>
        <v>15600</v>
      </c>
      <c r="X25" s="26">
        <f>MAX(Table6[Production_Olives])</f>
        <v>659300</v>
      </c>
      <c r="Y25" s="39">
        <f>(Table6[[#This Row],[Production_Olives]]-Table6[[#This Row],[Min]])/(Table6[[#This Row],[Max]]-Table6[[#This Row],[Min]])</f>
        <v>0.10470716172129874</v>
      </c>
      <c r="AA25" s="13">
        <v>-8.8999999999999996E-2</v>
      </c>
      <c r="AB25" s="13">
        <f>MIN(Table8[PIB])</f>
        <v>-9.1999999999999998E-2</v>
      </c>
      <c r="AC25" s="13">
        <f>MAX(Table8[PIB])</f>
        <v>8.8999999999999996E-2</v>
      </c>
      <c r="AD25" s="43">
        <f>(Table8[[#This Row],[PIB]]-Table8[[#This Row],[Min]])/(Table8[[#This Row],[Max]]-Table8[[#This Row],[Min]])</f>
        <v>1.6574585635359133E-2</v>
      </c>
      <c r="AF25" s="13">
        <v>-1E-3</v>
      </c>
      <c r="AG25" s="13">
        <f>MIN(Table9[Inflation])</f>
        <v>-1.2E-2</v>
      </c>
      <c r="AH25" s="13">
        <f>MAX(Table9[Inflation])</f>
        <v>9.6000000000000002E-2</v>
      </c>
      <c r="AI25" s="43">
        <f>(Table9[[#This Row],[Inflation]]-Table9[[#This Row],[Min]])/(Table9[[#This Row],[Max]]-Table9[[#This Row],[Min]])</f>
        <v>0.10185185185185185</v>
      </c>
      <c r="AJ25" s="45">
        <f>1-Table9[[#This Row],[Inflation_N]]</f>
        <v>0.89814814814814814</v>
      </c>
      <c r="AL25" s="25">
        <v>226.22652930930951</v>
      </c>
      <c r="AM25" s="25">
        <f>MIN(Table10[PriceAVG])</f>
        <v>164.12043561896019</v>
      </c>
      <c r="AN25" s="25">
        <f>MAX(Table10[PriceAVG])</f>
        <v>840.98425196850394</v>
      </c>
      <c r="AO25" s="35">
        <f>(Table10[[#This Row],[PriceAVG]]-Table10[[#This Row],[Min]])/(Table10[[#This Row],[Max]]-Table10[[#This Row],[Min]])</f>
        <v>9.175567106733433E-2</v>
      </c>
      <c r="AP25" s="1">
        <f>1-Table10[[#This Row],[Inflation_N]]</f>
        <v>0.90824432893266571</v>
      </c>
      <c r="AR25" s="25">
        <v>981.35</v>
      </c>
      <c r="AS25" s="25">
        <f>MIN(Table11[Precipitation (mm)])</f>
        <v>582.9</v>
      </c>
      <c r="AT25" s="25">
        <f>MAX(Table11[Precipitation (mm)])</f>
        <v>1212.48</v>
      </c>
      <c r="AU25" s="35">
        <f>(Table11[[#This Row],[Precipitation (mm)]]-Table11[[#This Row],[Min]])/(Table11[[#This Row],[Max]]-Table11[[#This Row],[Min]])</f>
        <v>0.63288223895295281</v>
      </c>
    </row>
    <row r="26" spans="1:47" x14ac:dyDescent="0.3">
      <c r="A26" s="24">
        <f>457.1*1000</f>
        <v>457100</v>
      </c>
      <c r="B26">
        <f>MIN(Table2[Consumption])</f>
        <v>12000</v>
      </c>
      <c r="C26" s="25">
        <f>MAX(Table2[Consumption])</f>
        <v>579900</v>
      </c>
      <c r="D26" s="35">
        <f>(Table2[[#This Row],[Consumption]]-Table2[[#This Row],[Min]])/(Table2[[#This Row],[Max]]-Table2[[#This Row],[Min]])</f>
        <v>0.78376474731466805</v>
      </c>
      <c r="F26" s="24">
        <f>329*1000</f>
        <v>329000</v>
      </c>
      <c r="G26" s="24">
        <f>MIN(Table3[Production])</f>
        <v>100000</v>
      </c>
      <c r="H26" s="24">
        <f>MAX(Table3[Production])</f>
        <v>1789900</v>
      </c>
      <c r="I26" s="35">
        <f>(Table3[[#This Row],[Production]]-Table3[[#This Row],[Min]])/(Table3[[#This Row],[Max]]-Table3[[#This Row],[Min]])</f>
        <v>0.13551097698088643</v>
      </c>
      <c r="K26" s="24">
        <f>72.7*1000</f>
        <v>72700</v>
      </c>
      <c r="L26" s="25">
        <f>MIN(Table4[Exportation])</f>
        <v>19600</v>
      </c>
      <c r="M26" s="25">
        <f>MAX(Table4[Exportation])</f>
        <v>468100</v>
      </c>
      <c r="N26" s="35">
        <f>(Table4[[#This Row],[Exportation]]-Table4[[#This Row],[Min]])/(Table4[[#This Row],[Max]]-Table4[[#This Row],[Min]])</f>
        <v>0.11839464882943143</v>
      </c>
      <c r="P26" s="24">
        <f>51.5*1000</f>
        <v>51500</v>
      </c>
      <c r="Q26" s="25">
        <f>MIN(Table5[Importation])</f>
        <v>0</v>
      </c>
      <c r="R26" s="25">
        <f>MAX(Table5[Importation])</f>
        <v>151900</v>
      </c>
      <c r="S26" s="35">
        <f>(Table5[[#This Row],[Importation]]-Table5[[#This Row],[Min]])/(Table5[[#This Row],[Max]]-Table5[[#This Row],[Min]])</f>
        <v>0.33903884134298878</v>
      </c>
      <c r="T26" s="1">
        <f>1-Table5[[#This Row],[Importation_N]]</f>
        <v>0.66096115865701122</v>
      </c>
      <c r="V26" s="27">
        <f>62.5*1000</f>
        <v>62500</v>
      </c>
      <c r="W26" s="26">
        <f>MIN(Table6[Production_Olives])</f>
        <v>15600</v>
      </c>
      <c r="X26" s="26">
        <f>MAX(Table6[Production_Olives])</f>
        <v>659300</v>
      </c>
      <c r="Y26" s="39">
        <f>(Table6[[#This Row],[Production_Olives]]-Table6[[#This Row],[Min]])/(Table6[[#This Row],[Max]]-Table6[[#This Row],[Min]])</f>
        <v>7.286002796333696E-2</v>
      </c>
      <c r="AA26" s="12">
        <v>8.8999999999999996E-2</v>
      </c>
      <c r="AB26" s="13">
        <f>MIN(Table8[PIB])</f>
        <v>-9.1999999999999998E-2</v>
      </c>
      <c r="AC26" s="13">
        <f>MAX(Table8[PIB])</f>
        <v>8.8999999999999996E-2</v>
      </c>
      <c r="AD26" s="43">
        <f>(Table8[[#This Row],[PIB]]-Table8[[#This Row],[Min]])/(Table8[[#This Row],[Max]]-Table8[[#This Row],[Min]])</f>
        <v>1</v>
      </c>
      <c r="AF26" s="12">
        <v>1.9E-2</v>
      </c>
      <c r="AG26" s="13">
        <f>MIN(Table9[Inflation])</f>
        <v>-1.2E-2</v>
      </c>
      <c r="AH26" s="13">
        <f>MAX(Table9[Inflation])</f>
        <v>9.6000000000000002E-2</v>
      </c>
      <c r="AI26" s="43">
        <f>(Table9[[#This Row],[Inflation]]-Table9[[#This Row],[Min]])/(Table9[[#This Row],[Max]]-Table9[[#This Row],[Min]])</f>
        <v>0.28703703703703703</v>
      </c>
      <c r="AJ26" s="45">
        <f>1-Table9[[#This Row],[Inflation_N]]</f>
        <v>0.71296296296296302</v>
      </c>
      <c r="AL26" s="24">
        <v>305.30891238670688</v>
      </c>
      <c r="AM26" s="25">
        <f>MIN(Table10[PriceAVG])</f>
        <v>164.12043561896019</v>
      </c>
      <c r="AN26" s="25">
        <f>MAX(Table10[PriceAVG])</f>
        <v>840.98425196850394</v>
      </c>
      <c r="AO26" s="35">
        <f>(Table10[[#This Row],[PriceAVG]]-Table10[[#This Row],[Min]])/(Table10[[#This Row],[Max]]-Table10[[#This Row],[Min]])</f>
        <v>0.20859214713116619</v>
      </c>
      <c r="AP26" s="1">
        <f>1-Table10[[#This Row],[Inflation_N]]</f>
        <v>0.79140785286883375</v>
      </c>
      <c r="AR26" s="24">
        <v>990.35</v>
      </c>
      <c r="AS26" s="25">
        <f>MIN(Table11[Precipitation (mm)])</f>
        <v>582.9</v>
      </c>
      <c r="AT26" s="25">
        <f>MAX(Table11[Precipitation (mm)])</f>
        <v>1212.48</v>
      </c>
      <c r="AU26" s="35">
        <f>(Table11[[#This Row],[Precipitation (mm)]]-Table11[[#This Row],[Min]])/(Table11[[#This Row],[Max]]-Table11[[#This Row],[Min]])</f>
        <v>0.64717748340163284</v>
      </c>
    </row>
    <row r="27" spans="1:47" x14ac:dyDescent="0.3">
      <c r="A27" s="25">
        <f>433.8*1000</f>
        <v>433800</v>
      </c>
      <c r="B27">
        <f>MIN(Table2[Consumption])</f>
        <v>12000</v>
      </c>
      <c r="C27" s="25">
        <f>MAX(Table2[Consumption])</f>
        <v>579900</v>
      </c>
      <c r="D27" s="35">
        <f>(Table2[[#This Row],[Consumption]]-Table2[[#This Row],[Min]])/(Table2[[#This Row],[Max]]-Table2[[#This Row],[Min]])</f>
        <v>0.74273639725303753</v>
      </c>
      <c r="F27" s="25">
        <f>240.9*1000</f>
        <v>240900</v>
      </c>
      <c r="G27" s="25">
        <f>MIN(Table3[Production])</f>
        <v>100000</v>
      </c>
      <c r="H27" s="25">
        <f>MAX(Table3[Production])</f>
        <v>1789900</v>
      </c>
      <c r="I27" s="35">
        <f>(Table3[[#This Row],[Production]]-Table3[[#This Row],[Min]])/(Table3[[#This Row],[Max]]-Table3[[#This Row],[Min]])</f>
        <v>8.3377714657672047E-2</v>
      </c>
      <c r="K27" s="25">
        <f>59*1000</f>
        <v>59000</v>
      </c>
      <c r="L27" s="25">
        <f>MIN(Table4[Exportation])</f>
        <v>19600</v>
      </c>
      <c r="M27" s="25">
        <f>MAX(Table4[Exportation])</f>
        <v>468100</v>
      </c>
      <c r="N27" s="35">
        <f>(Table4[[#This Row],[Exportation]]-Table4[[#This Row],[Min]])/(Table4[[#This Row],[Max]]-Table4[[#This Row],[Min]])</f>
        <v>8.7848383500557417E-2</v>
      </c>
      <c r="P27" s="25">
        <f>64.6*1000</f>
        <v>64599.999999999993</v>
      </c>
      <c r="Q27" s="25">
        <f>MIN(Table5[Importation])</f>
        <v>0</v>
      </c>
      <c r="R27" s="25">
        <f>MAX(Table5[Importation])</f>
        <v>151900</v>
      </c>
      <c r="S27" s="35">
        <f>(Table5[[#This Row],[Importation]]-Table5[[#This Row],[Min]])/(Table5[[#This Row],[Max]]-Table5[[#This Row],[Min]])</f>
        <v>0.42527978933508881</v>
      </c>
      <c r="T27" s="1">
        <f>1-Table5[[#This Row],[Importation_N]]</f>
        <v>0.57472021066491119</v>
      </c>
      <c r="V27" s="26">
        <f>67.3*1000</f>
        <v>67300</v>
      </c>
      <c r="W27" s="26">
        <f>MIN(Table6[Production_Olives])</f>
        <v>15600</v>
      </c>
      <c r="X27" s="26">
        <f>MAX(Table6[Production_Olives])</f>
        <v>659300</v>
      </c>
      <c r="Y27" s="39">
        <f>(Table6[[#This Row],[Production_Olives]]-Table6[[#This Row],[Min]])/(Table6[[#This Row],[Max]]-Table6[[#This Row],[Min]])</f>
        <v>8.0316917818859718E-2</v>
      </c>
      <c r="AA27" s="13">
        <v>4.8000000000000001E-2</v>
      </c>
      <c r="AB27" s="13">
        <f>MIN(Table8[PIB])</f>
        <v>-9.1999999999999998E-2</v>
      </c>
      <c r="AC27" s="13">
        <f>MAX(Table8[PIB])</f>
        <v>8.8999999999999996E-2</v>
      </c>
      <c r="AD27" s="43">
        <f>(Table8[[#This Row],[PIB]]-Table8[[#This Row],[Min]])/(Table8[[#This Row],[Max]]-Table8[[#This Row],[Min]])</f>
        <v>0.77348066298342555</v>
      </c>
      <c r="AF27" s="13">
        <v>8.2000000000000003E-2</v>
      </c>
      <c r="AG27" s="13">
        <f>MIN(Table9[Inflation])</f>
        <v>-1.2E-2</v>
      </c>
      <c r="AH27" s="13">
        <f>MAX(Table9[Inflation])</f>
        <v>9.6000000000000002E-2</v>
      </c>
      <c r="AI27" s="43">
        <f>(Table9[[#This Row],[Inflation]]-Table9[[#This Row],[Min]])/(Table9[[#This Row],[Max]]-Table9[[#This Row],[Min]])</f>
        <v>0.87037037037037035</v>
      </c>
      <c r="AJ27" s="45">
        <f>1-Table9[[#This Row],[Inflation_N]]</f>
        <v>0.12962962962962965</v>
      </c>
      <c r="AL27" s="25">
        <v>362.26008230452669</v>
      </c>
      <c r="AM27" s="25">
        <f>MIN(Table10[PriceAVG])</f>
        <v>164.12043561896019</v>
      </c>
      <c r="AN27" s="25">
        <f>MAX(Table10[PriceAVG])</f>
        <v>840.98425196850394</v>
      </c>
      <c r="AO27" s="35">
        <f>(Table10[[#This Row],[PriceAVG]]-Table10[[#This Row],[Min]])/(Table10[[#This Row],[Max]]-Table10[[#This Row],[Min]])</f>
        <v>0.29273192317203717</v>
      </c>
      <c r="AP27" s="1">
        <f>1-Table10[[#This Row],[Inflation_N]]</f>
        <v>0.70726807682796289</v>
      </c>
      <c r="AR27" s="25">
        <v>818.17</v>
      </c>
      <c r="AS27" s="25">
        <f>MIN(Table11[Precipitation (mm)])</f>
        <v>582.9</v>
      </c>
      <c r="AT27" s="25">
        <f>MAX(Table11[Precipitation (mm)])</f>
        <v>1212.48</v>
      </c>
      <c r="AU27" s="35">
        <f>(Table11[[#This Row],[Precipitation (mm)]]-Table11[[#This Row],[Min]])/(Table11[[#This Row],[Max]]-Table11[[#This Row],[Min]])</f>
        <v>0.37369357349344001</v>
      </c>
    </row>
    <row r="28" spans="1:47" x14ac:dyDescent="0.3">
      <c r="A28" s="24">
        <f>411.5*1000</f>
        <v>411500</v>
      </c>
      <c r="B28">
        <f>MIN(Table2[Consumption])</f>
        <v>12000</v>
      </c>
      <c r="C28" s="25">
        <f>MAX(Table2[Consumption])</f>
        <v>579900</v>
      </c>
      <c r="D28" s="35">
        <f>(Table2[[#This Row],[Consumption]]-Table2[[#This Row],[Min]])/(Table2[[#This Row],[Max]]-Table2[[#This Row],[Min]])</f>
        <v>0.70346892058460997</v>
      </c>
      <c r="F28" s="24">
        <f>328.5*1000</f>
        <v>328500</v>
      </c>
      <c r="G28" s="24">
        <f>MIN(Table3[Production])</f>
        <v>100000</v>
      </c>
      <c r="H28" s="24">
        <f>MAX(Table3[Production])</f>
        <v>1789900</v>
      </c>
      <c r="I28" s="35">
        <f>(Table3[[#This Row],[Production]]-Table3[[#This Row],[Min]])/(Table3[[#This Row],[Max]]-Table3[[#This Row],[Min]])</f>
        <v>0.13521510148529498</v>
      </c>
      <c r="K28" s="24">
        <f>55.1*1000</f>
        <v>55100</v>
      </c>
      <c r="L28" s="25">
        <f>MIN(Table4[Exportation])</f>
        <v>19600</v>
      </c>
      <c r="M28" s="25">
        <f>MAX(Table4[Exportation])</f>
        <v>468100</v>
      </c>
      <c r="N28" s="35">
        <f>(Table4[[#This Row],[Exportation]]-Table4[[#This Row],[Min]])/(Table4[[#This Row],[Max]]-Table4[[#This Row],[Min]])</f>
        <v>7.9152731326644368E-2</v>
      </c>
      <c r="P28" s="24">
        <f>68.6*1000</f>
        <v>68600</v>
      </c>
      <c r="Q28" s="25">
        <f>MIN(Table5[Importation])</f>
        <v>0</v>
      </c>
      <c r="R28" s="25">
        <f>MAX(Table5[Importation])</f>
        <v>151900</v>
      </c>
      <c r="S28" s="35">
        <f>(Table5[[#This Row],[Importation]]-Table5[[#This Row],[Min]])/(Table5[[#This Row],[Max]]-Table5[[#This Row],[Min]])</f>
        <v>0.45161290322580644</v>
      </c>
      <c r="T28" s="1">
        <f>1-Table5[[#This Row],[Importation_N]]</f>
        <v>0.54838709677419351</v>
      </c>
      <c r="V28" s="27">
        <f>77.4*1000</f>
        <v>77400</v>
      </c>
      <c r="W28" s="26">
        <f>MIN(Table6[Production_Olives])</f>
        <v>15600</v>
      </c>
      <c r="X28" s="26">
        <f>MAX(Table6[Production_Olives])</f>
        <v>659300</v>
      </c>
      <c r="Y28" s="39">
        <f>(Table6[[#This Row],[Production_Olives]]-Table6[[#This Row],[Min]])/(Table6[[#This Row],[Max]]-Table6[[#This Row],[Min]])</f>
        <v>9.6007456889855528E-2</v>
      </c>
      <c r="AA28" s="12">
        <v>0.01</v>
      </c>
      <c r="AB28" s="13">
        <f>MIN(Table8[PIB])</f>
        <v>-9.1999999999999998E-2</v>
      </c>
      <c r="AC28" s="13">
        <f>MAX(Table8[PIB])</f>
        <v>8.8999999999999996E-2</v>
      </c>
      <c r="AD28" s="43">
        <f>(Table8[[#This Row],[PIB]]-Table8[[#This Row],[Min]])/(Table8[[#This Row],[Max]]-Table8[[#This Row],[Min]])</f>
        <v>0.56353591160220995</v>
      </c>
      <c r="AF28" s="12">
        <v>5.6000000000000001E-2</v>
      </c>
      <c r="AG28" s="13">
        <f>MIN(Table9[Inflation])</f>
        <v>-1.2E-2</v>
      </c>
      <c r="AH28" s="13">
        <f>MAX(Table9[Inflation])</f>
        <v>9.6000000000000002E-2</v>
      </c>
      <c r="AI28" s="43">
        <f>(Table9[[#This Row],[Inflation]]-Table9[[#This Row],[Min]])/(Table9[[#This Row],[Max]]-Table9[[#This Row],[Min]])</f>
        <v>0.62962962962962965</v>
      </c>
      <c r="AJ28" s="45">
        <f>1-Table9[[#This Row],[Inflation_N]]</f>
        <v>0.37037037037037035</v>
      </c>
      <c r="AL28" s="24">
        <v>594.58064516129036</v>
      </c>
      <c r="AM28" s="25">
        <f>MIN(Table10[PriceAVG])</f>
        <v>164.12043561896019</v>
      </c>
      <c r="AN28" s="25">
        <f>MAX(Table10[PriceAVG])</f>
        <v>840.98425196850394</v>
      </c>
      <c r="AO28" s="35">
        <f>(Table10[[#This Row],[PriceAVG]]-Table10[[#This Row],[Min]])/(Table10[[#This Row],[Max]]-Table10[[#This Row],[Min]])</f>
        <v>0.63596280247906378</v>
      </c>
      <c r="AP28" s="1">
        <f>1-Table10[[#This Row],[Inflation_N]]</f>
        <v>0.36403719752093622</v>
      </c>
      <c r="AR28" s="24">
        <v>1025.3699999999999</v>
      </c>
      <c r="AS28" s="25">
        <f>MIN(Table11[Precipitation (mm)])</f>
        <v>582.9</v>
      </c>
      <c r="AT28" s="25">
        <f>MAX(Table11[Precipitation (mm)])</f>
        <v>1212.48</v>
      </c>
      <c r="AU28" s="35">
        <f>(Table11[[#This Row],[Precipitation (mm)]]-Table11[[#This Row],[Min]])/(Table11[[#This Row],[Max]]-Table11[[#This Row],[Min]])</f>
        <v>0.7028018679119411</v>
      </c>
    </row>
    <row r="29" spans="1:47" x14ac:dyDescent="0.3">
      <c r="A29" s="30">
        <f>395*1000</f>
        <v>395000</v>
      </c>
      <c r="B29">
        <f>MIN(Table2[Consumption])</f>
        <v>12000</v>
      </c>
      <c r="C29" s="30">
        <f>MAX(Table2[Consumption])</f>
        <v>579900</v>
      </c>
      <c r="D29" s="36">
        <f>(Table2[[#This Row],[Consumption]]-Table2[[#This Row],[Min]])/(Table2[[#This Row],[Max]]-Table2[[#This Row],[Min]])</f>
        <v>0.67441450959675997</v>
      </c>
      <c r="F29" s="30">
        <f>224*1000</f>
        <v>224000</v>
      </c>
      <c r="G29" s="30">
        <f>MIN(Table3[Production])</f>
        <v>100000</v>
      </c>
      <c r="H29" s="30">
        <f>MAX(Table3[Production])</f>
        <v>1789900</v>
      </c>
      <c r="I29" s="36">
        <f>(Table3[[#This Row],[Production]]-Table3[[#This Row],[Min]])/(Table3[[#This Row],[Max]]-Table3[[#This Row],[Min]])</f>
        <v>7.3377122906680872E-2</v>
      </c>
      <c r="K29" s="30">
        <f>60*1000</f>
        <v>60000</v>
      </c>
      <c r="L29" s="30">
        <f>MIN(Table4[Exportation])</f>
        <v>19600</v>
      </c>
      <c r="M29" s="30">
        <f>MAX(Table4[Exportation])</f>
        <v>468100</v>
      </c>
      <c r="N29" s="36">
        <f>(Table4[[#This Row],[Exportation]]-Table4[[#This Row],[Min]])/(Table4[[#This Row],[Max]]-Table4[[#This Row],[Min]])</f>
        <v>9.0078037904124858E-2</v>
      </c>
      <c r="P29" s="30">
        <f>95*1000</f>
        <v>95000</v>
      </c>
      <c r="Q29" s="30">
        <f>MIN(Table5[Importation])</f>
        <v>0</v>
      </c>
      <c r="R29" s="30">
        <f>MAX(Table5[Importation])</f>
        <v>151900</v>
      </c>
      <c r="S29" s="36">
        <f>(Table5[[#This Row],[Importation]]-Table5[[#This Row],[Min]])/(Table5[[#This Row],[Max]]-Table5[[#This Row],[Min]])</f>
        <v>0.62541145490454242</v>
      </c>
      <c r="T29" s="1">
        <f>1-Table5[[#This Row],[Importation_N]]</f>
        <v>0.37458854509545758</v>
      </c>
      <c r="V29" s="31">
        <f>61.5*1000</f>
        <v>61500</v>
      </c>
      <c r="W29" s="31">
        <f>MIN(Table6[Production_Olives])</f>
        <v>15600</v>
      </c>
      <c r="X29" s="31">
        <f>MAX(Table6[Production_Olives])</f>
        <v>659300</v>
      </c>
      <c r="Y29" s="40">
        <f>(Table6[[#This Row],[Production_Olives]]-Table6[[#This Row],[Min]])/(Table6[[#This Row],[Max]]-Table6[[#This Row],[Min]])</f>
        <v>7.1306509243436386E-2</v>
      </c>
      <c r="AA29" s="32">
        <v>7.0000000000000001E-3</v>
      </c>
      <c r="AB29" s="32">
        <f>MIN(Table8[PIB])</f>
        <v>-9.1999999999999998E-2</v>
      </c>
      <c r="AC29" s="32">
        <f>MAX(Table8[PIB])</f>
        <v>8.8999999999999996E-2</v>
      </c>
      <c r="AD29" s="44">
        <f>(Table8[[#This Row],[PIB]]-Table8[[#This Row],[Min]])/(Table8[[#This Row],[Max]]-Table8[[#This Row],[Min]])</f>
        <v>0.54696132596685088</v>
      </c>
      <c r="AF29" s="32">
        <v>0.01</v>
      </c>
      <c r="AG29" s="32">
        <f>MIN(Table9[Inflation])</f>
        <v>-1.2E-2</v>
      </c>
      <c r="AH29" s="32">
        <f>MAX(Table9[Inflation])</f>
        <v>9.6000000000000002E-2</v>
      </c>
      <c r="AI29" s="44">
        <f>(Table9[[#This Row],[Inflation]]-Table9[[#This Row],[Min]])/(Table9[[#This Row],[Max]]-Table9[[#This Row],[Min]])</f>
        <v>0.20370370370370369</v>
      </c>
      <c r="AJ29" s="45">
        <f>1-Table9[[#This Row],[Inflation_N]]</f>
        <v>0.79629629629629628</v>
      </c>
      <c r="AL29" s="30">
        <v>717.17688679245282</v>
      </c>
      <c r="AM29" s="30">
        <f>MIN(Table10[PriceAVG])</f>
        <v>164.12043561896019</v>
      </c>
      <c r="AN29" s="30">
        <f>MAX(Table10[PriceAVG])</f>
        <v>840.98425196850394</v>
      </c>
      <c r="AO29" s="36">
        <f>(Table10[[#This Row],[PriceAVG]]-Table10[[#This Row],[Min]])/(Table10[[#This Row],[Max]]-Table10[[#This Row],[Min]])</f>
        <v>0.81708674302643636</v>
      </c>
      <c r="AP29" s="1">
        <f>1-Table10[[#This Row],[Inflation_N]]</f>
        <v>0.18291325697356364</v>
      </c>
      <c r="AR29" s="30">
        <v>1148.22</v>
      </c>
      <c r="AS29" s="30">
        <f>MIN(Table11[Precipitation (mm)])</f>
        <v>582.9</v>
      </c>
      <c r="AT29" s="30">
        <f>MAX(Table11[Precipitation (mm)])</f>
        <v>1212.48</v>
      </c>
      <c r="AU29" s="36">
        <f>(Table11[[#This Row],[Precipitation (mm)]]-Table11[[#This Row],[Min]])/(Table11[[#This Row],[Max]]-Table11[[#This Row],[Min]])</f>
        <v>0.89793195463642428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workbookViewId="0">
      <selection sqref="A1:F29"/>
    </sheetView>
  </sheetViews>
  <sheetFormatPr defaultRowHeight="14.4" x14ac:dyDescent="0.3"/>
  <cols>
    <col min="1" max="1" width="15.5546875" bestFit="1" customWidth="1"/>
    <col min="2" max="2" width="10" bestFit="1" customWidth="1"/>
    <col min="3" max="3" width="8.77734375" bestFit="1" customWidth="1"/>
    <col min="4" max="4" width="11" customWidth="1"/>
    <col min="5" max="5" width="9.88671875" bestFit="1" customWidth="1"/>
    <col min="6" max="6" width="11.44140625" bestFit="1" customWidth="1"/>
  </cols>
  <sheetData>
    <row r="1" spans="1:6" x14ac:dyDescent="0.3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t="s">
        <v>11</v>
      </c>
      <c r="B2" t="s">
        <v>12</v>
      </c>
      <c r="C2" s="1">
        <f>(Table3[[#This Row],[Production_N]]+Table6[[#This Row],[OO_N]]+Table4[[#This Row],[Exportation_N]])/3</f>
        <v>0.88121994459405217</v>
      </c>
      <c r="D2" s="1">
        <f>(Table2[[#This Row],[Consumption_N]]+Table5[[#This Row],[Importation_N_Inversion]])/2</f>
        <v>0.67578263519166337</v>
      </c>
      <c r="E2" s="1">
        <f>Table11[[#This Row],[Precipitation_N]]</f>
        <v>0.38972013088090474</v>
      </c>
      <c r="F2" s="1">
        <f>(Table8[[#This Row],[PIB_N]]+Table9[[#This Row],[Inflation_N_Inversion]])/2</f>
        <v>0.68618272969101701</v>
      </c>
    </row>
    <row r="3" spans="1:6" x14ac:dyDescent="0.3">
      <c r="A3" t="s">
        <v>13</v>
      </c>
      <c r="B3" t="s">
        <v>12</v>
      </c>
      <c r="C3" s="1">
        <f>(Table3[[#This Row],[Production_N]]+Table6[[#This Row],[OO_N]]+Table4[[#This Row],[Exportation_N]])/3</f>
        <v>0.72954135265291165</v>
      </c>
      <c r="D3" s="1">
        <f>(Table2[[#This Row],[Consumption_N]]+Table5[[#This Row],[Importation_N_Inversion]])/2</f>
        <v>0.44602923049832716</v>
      </c>
      <c r="E3" s="1">
        <f>Table11[[#This Row],[Precipitation_N]]</f>
        <v>5.9627052955939001E-2</v>
      </c>
      <c r="F3" s="1">
        <f>(Table8[[#This Row],[PIB_N]]+Table9[[#This Row],[Inflation_N_Inversion]])/2</f>
        <v>0.72142930223040724</v>
      </c>
    </row>
    <row r="4" spans="1:6" x14ac:dyDescent="0.3">
      <c r="A4" t="s">
        <v>14</v>
      </c>
      <c r="B4" t="s">
        <v>12</v>
      </c>
      <c r="C4" s="1">
        <f>(Table3[[#This Row],[Production_N]]+Table6[[#This Row],[OO_N]]+Table4[[#This Row],[Exportation_N]])/3</f>
        <v>0.85980520729117338</v>
      </c>
      <c r="D4" s="1">
        <f>(Table2[[#This Row],[Consumption_N]]+Table5[[#This Row],[Importation_N_Inversion]])/2</f>
        <v>0.63437098507245371</v>
      </c>
      <c r="E4" s="1">
        <f>Table11[[#This Row],[Precipitation_N]]</f>
        <v>0.14693922932748815</v>
      </c>
      <c r="F4" s="1">
        <f>(Table8[[#This Row],[PIB_N]]+Table9[[#This Row],[Inflation_N_Inversion]])/2</f>
        <v>0.62960405156537758</v>
      </c>
    </row>
    <row r="5" spans="1:6" x14ac:dyDescent="0.3">
      <c r="A5" t="s">
        <v>15</v>
      </c>
      <c r="B5" t="s">
        <v>12</v>
      </c>
      <c r="C5" s="1">
        <f>(Table3[[#This Row],[Production_N]]+Table6[[#This Row],[OO_N]]+Table4[[#This Row],[Exportation_N]])/3</f>
        <v>0.94143637690593129</v>
      </c>
      <c r="D5" s="1">
        <f>(Table2[[#This Row],[Consumption_N]]+Table5[[#This Row],[Importation_N_Inversion]])/2</f>
        <v>0.71823568136932192</v>
      </c>
      <c r="E5" s="1">
        <f>Table11[[#This Row],[Precipitation_N]]</f>
        <v>0.12506750532100766</v>
      </c>
      <c r="F5" s="1">
        <f>(Table8[[#This Row],[PIB_N]]+Table9[[#This Row],[Inflation_N_Inversion]])/2</f>
        <v>0.69595355023531824</v>
      </c>
    </row>
    <row r="6" spans="1:6" x14ac:dyDescent="0.3">
      <c r="A6" t="s">
        <v>16</v>
      </c>
      <c r="B6" t="s">
        <v>12</v>
      </c>
      <c r="C6" s="1">
        <f>(Table3[[#This Row],[Production_N]]+Table6[[#This Row],[OO_N]]+Table4[[#This Row],[Exportation_N]])/3</f>
        <v>0.53862477103694817</v>
      </c>
      <c r="D6" s="1">
        <f>(Table2[[#This Row],[Consumption_N]]+Table5[[#This Row],[Importation_N_Inversion]])/2</f>
        <v>0.48728705053242949</v>
      </c>
      <c r="E6" s="1">
        <f>Table11[[#This Row],[Precipitation_N]]</f>
        <v>8.856698116204452E-2</v>
      </c>
      <c r="F6" s="1">
        <f>(Table8[[#This Row],[PIB_N]]+Table9[[#This Row],[Inflation_N_Inversion]])/2</f>
        <v>0.46163290362185389</v>
      </c>
    </row>
    <row r="7" spans="1:6" x14ac:dyDescent="0.3">
      <c r="A7" t="s">
        <v>17</v>
      </c>
      <c r="B7" t="s">
        <v>12</v>
      </c>
      <c r="C7" s="1">
        <f>(Table3[[#This Row],[Production_N]]+Table6[[#This Row],[OO_N]]+Table4[[#This Row],[Exportation_N]])/3</f>
        <v>0.58409492641495231</v>
      </c>
      <c r="D7" s="1">
        <f>(Table2[[#This Row],[Consumption_N]]+Table5[[#This Row],[Importation_N_Inversion]])/2</f>
        <v>0.48616242161707995</v>
      </c>
      <c r="E7" s="1">
        <f>Table11[[#This Row],[Precipitation_N]]</f>
        <v>0</v>
      </c>
      <c r="F7" s="1">
        <f>(Table8[[#This Row],[PIB_N]]+Table9[[#This Row],[Inflation_N_Inversion]])/2</f>
        <v>0.6138991201145898</v>
      </c>
    </row>
    <row r="8" spans="1:6" x14ac:dyDescent="0.3">
      <c r="A8" t="s">
        <v>18</v>
      </c>
      <c r="B8" t="s">
        <v>12</v>
      </c>
      <c r="C8" s="1">
        <f>(Table3[[#This Row],[Production_N]]+Table6[[#This Row],[OO_N]]+Table4[[#This Row],[Exportation_N]])/3</f>
        <v>0.76337420242662912</v>
      </c>
      <c r="D8" s="1">
        <f>(Table2[[#This Row],[Consumption_N]]+Table5[[#This Row],[Importation_N_Inversion]])/2</f>
        <v>0.58897151894515454</v>
      </c>
      <c r="E8" s="1">
        <f>Table11[[#This Row],[Precipitation_N]]</f>
        <v>0.19449474252676394</v>
      </c>
      <c r="F8" s="1">
        <f>(Table8[[#This Row],[PIB_N]]+Table9[[#This Row],[Inflation_N_Inversion]])/2</f>
        <v>0.65735625127890318</v>
      </c>
    </row>
    <row r="9" spans="1:6" x14ac:dyDescent="0.3">
      <c r="A9" t="s">
        <v>11</v>
      </c>
      <c r="B9" t="s">
        <v>20</v>
      </c>
      <c r="C9" s="1">
        <f>(Table3[[#This Row],[Production_N]]+Table6[[#This Row],[OO_N]]+Table4[[#This Row],[Exportation_N]])/3</f>
        <v>3.730004964875807E-2</v>
      </c>
      <c r="D9" s="1">
        <f>(Table2[[#This Row],[Consumption_N]]+Table5[[#This Row],[Importation_N_Inversion]])/2</f>
        <v>0.53502636847046647</v>
      </c>
      <c r="E9" s="1">
        <f>Table11[[#This Row],[Precipitation_N]]</f>
        <v>0.48282982305664091</v>
      </c>
      <c r="F9" s="1">
        <f>(Table8[[#This Row],[PIB_N]]+Table9[[#This Row],[Inflation_N_Inversion]])/2</f>
        <v>0.73240229179455696</v>
      </c>
    </row>
    <row r="10" spans="1:6" x14ac:dyDescent="0.3">
      <c r="A10" t="s">
        <v>13</v>
      </c>
      <c r="B10" t="s">
        <v>20</v>
      </c>
      <c r="C10" s="1">
        <f>(Table3[[#This Row],[Production_N]]+Table6[[#This Row],[OO_N]]+Table4[[#This Row],[Exportation_N]])/3</f>
        <v>5.7739997450063467E-2</v>
      </c>
      <c r="D10" s="1">
        <f>(Table2[[#This Row],[Consumption_N]]+Table5[[#This Row],[Importation_N_Inversion]])/2</f>
        <v>0.54490325687386898</v>
      </c>
      <c r="E10" s="1">
        <f>Table11[[#This Row],[Precipitation_N]]</f>
        <v>0.19160392642714189</v>
      </c>
      <c r="F10" s="1">
        <f>(Table8[[#This Row],[PIB_N]]+Table9[[#This Row],[Inflation_N_Inversion]])/2</f>
        <v>0.75928483732351137</v>
      </c>
    </row>
    <row r="11" spans="1:6" x14ac:dyDescent="0.3">
      <c r="A11" t="s">
        <v>14</v>
      </c>
      <c r="B11" t="s">
        <v>20</v>
      </c>
      <c r="C11" s="1">
        <f>(Table3[[#This Row],[Production_N]]+Table6[[#This Row],[OO_N]]+Table4[[#This Row],[Exportation_N]])/3</f>
        <v>4.1991824600520256E-2</v>
      </c>
      <c r="D11" s="1">
        <f>(Table2[[#This Row],[Consumption_N]]+Table5[[#This Row],[Importation_N_Inversion]])/2</f>
        <v>0.54252909179621955</v>
      </c>
      <c r="E11" s="1">
        <f>Table11[[#This Row],[Precipitation_N]]</f>
        <v>0.20327837606023064</v>
      </c>
      <c r="F11" s="1">
        <f>(Table8[[#This Row],[PIB_N]]+Table9[[#This Row],[Inflation_N_Inversion]])/2</f>
        <v>0.4720687538367096</v>
      </c>
    </row>
    <row r="12" spans="1:6" x14ac:dyDescent="0.3">
      <c r="A12" t="s">
        <v>15</v>
      </c>
      <c r="B12" t="s">
        <v>20</v>
      </c>
      <c r="C12" s="1">
        <f>(Table3[[#This Row],[Production_N]]+Table6[[#This Row],[OO_N]]+Table4[[#This Row],[Exportation_N]])/3</f>
        <v>6.5539479806690726E-2</v>
      </c>
      <c r="D12" s="1">
        <f>(Table2[[#This Row],[Consumption_N]]+Table5[[#This Row],[Importation_N_Inversion]])/2</f>
        <v>0.54164465574925158</v>
      </c>
      <c r="E12" s="1">
        <f>Table11[[#This Row],[Precipitation_N]]</f>
        <v>0.24008068871311028</v>
      </c>
      <c r="F12" s="1">
        <f>(Table8[[#This Row],[PIB_N]]+Table9[[#This Row],[Inflation_N_Inversion]])/2</f>
        <v>0.79309903826478412</v>
      </c>
    </row>
    <row r="13" spans="1:6" x14ac:dyDescent="0.3">
      <c r="A13" t="s">
        <v>16</v>
      </c>
      <c r="B13" t="s">
        <v>20</v>
      </c>
      <c r="C13" s="1">
        <f>(Table3[[#This Row],[Production_N]]+Table6[[#This Row],[OO_N]]+Table4[[#This Row],[Exportation_N]])/3</f>
        <v>3.5084494535727942E-2</v>
      </c>
      <c r="D13" s="1">
        <f>(Table2[[#This Row],[Consumption_N]]+Table5[[#This Row],[Importation_N_Inversion]])/2</f>
        <v>0.51628906423431975</v>
      </c>
      <c r="E13" s="1">
        <f>Table11[[#This Row],[Precipitation_N]]</f>
        <v>0.33728835096413484</v>
      </c>
      <c r="F13" s="1">
        <f>(Table8[[#This Row],[PIB_N]]+Table9[[#This Row],[Inflation_N_Inversion]])/2</f>
        <v>0.53084714548802947</v>
      </c>
    </row>
    <row r="14" spans="1:6" x14ac:dyDescent="0.3">
      <c r="A14" t="s">
        <v>17</v>
      </c>
      <c r="B14" t="s">
        <v>20</v>
      </c>
      <c r="C14" s="1">
        <f>(Table3[[#This Row],[Production_N]]+Table6[[#This Row],[OO_N]]+Table4[[#This Row],[Exportation_N]])/3</f>
        <v>4.0519931147091987E-2</v>
      </c>
      <c r="D14" s="1">
        <f>(Table2[[#This Row],[Consumption_N]]+Table5[[#This Row],[Importation_N_Inversion]])/2</f>
        <v>0.50519950324590757</v>
      </c>
      <c r="E14" s="1">
        <f>Table11[[#This Row],[Precipitation_N]]</f>
        <v>0.21951142031195406</v>
      </c>
      <c r="F14" s="1">
        <f>(Table8[[#This Row],[PIB_N]]+Table9[[#This Row],[Inflation_N_Inversion]])/2</f>
        <v>0.57133722119909969</v>
      </c>
    </row>
    <row r="15" spans="1:6" x14ac:dyDescent="0.3">
      <c r="A15" t="s">
        <v>18</v>
      </c>
      <c r="B15" t="s">
        <v>20</v>
      </c>
      <c r="C15" s="1">
        <f>(Table3[[#This Row],[Production_N]]+Table6[[#This Row],[OO_N]]+Table4[[#This Row],[Exportation_N]])/3</f>
        <v>5.1561127717988146E-2</v>
      </c>
      <c r="D15" s="1">
        <f>(Table2[[#This Row],[Consumption_N]]+Table5[[#This Row],[Importation_N_Inversion]])/2</f>
        <v>0.50808291893687763</v>
      </c>
      <c r="E15" s="1">
        <f>Table11[[#This Row],[Precipitation_N]]</f>
        <v>0.3037421773245656</v>
      </c>
      <c r="F15" s="1">
        <f>(Table8[[#This Row],[PIB_N]]+Table9[[#This Row],[Inflation_N_Inversion]])/2</f>
        <v>0.63996316758747696</v>
      </c>
    </row>
    <row r="16" spans="1:6" x14ac:dyDescent="0.3">
      <c r="A16" t="s">
        <v>11</v>
      </c>
      <c r="B16" t="s">
        <v>21</v>
      </c>
      <c r="C16" s="1">
        <f>(Table3[[#This Row],[Production_N]]+Table6[[#This Row],[OO_N]]+Table4[[#This Row],[Exportation_N]])/3</f>
        <v>0.11218398670748442</v>
      </c>
      <c r="D16" s="1">
        <f>(Table2[[#This Row],[Consumption_N]]+Table5[[#This Row],[Importation_N_Inversion]])/2</f>
        <v>0.5</v>
      </c>
      <c r="E16" s="1">
        <f>Table11[[#This Row],[Precipitation_N]]</f>
        <v>0.52487372534070331</v>
      </c>
      <c r="F16" s="1">
        <f>(Table8[[#This Row],[PIB_N]]+Table9[[#This Row],[Inflation_N_Inversion]])/2</f>
        <v>0.72882136279926335</v>
      </c>
    </row>
    <row r="17" spans="1:6" x14ac:dyDescent="0.3">
      <c r="A17" t="s">
        <v>13</v>
      </c>
      <c r="B17" t="s">
        <v>21</v>
      </c>
      <c r="C17" s="1">
        <f>(Table3[[#This Row],[Production_N]]+Table6[[#This Row],[OO_N]]+Table4[[#This Row],[Exportation_N]])/3</f>
        <v>0.14229275750958961</v>
      </c>
      <c r="D17" s="1">
        <f>(Table2[[#This Row],[Consumption_N]]+Table5[[#This Row],[Importation_N_Inversion]])/2</f>
        <v>0.59006867406233487</v>
      </c>
      <c r="E17" s="1">
        <f>Table11[[#This Row],[Precipitation_N]]</f>
        <v>0.45987801391403788</v>
      </c>
      <c r="F17" s="1">
        <f>(Table8[[#This Row],[PIB_N]]+Table9[[#This Row],[Inflation_N_Inversion]])/2</f>
        <v>0.74823511356660521</v>
      </c>
    </row>
    <row r="18" spans="1:6" x14ac:dyDescent="0.3">
      <c r="A18" t="s">
        <v>14</v>
      </c>
      <c r="B18" t="s">
        <v>21</v>
      </c>
      <c r="C18" s="1">
        <f>(Table3[[#This Row],[Production_N]]+Table6[[#This Row],[OO_N]]+Table4[[#This Row],[Exportation_N]])/3</f>
        <v>0.14918538119372432</v>
      </c>
      <c r="D18" s="1">
        <f>(Table2[[#This Row],[Consumption_N]]+Table5[[#This Row],[Importation_N_Inversion]])/2</f>
        <v>0.58472102096807232</v>
      </c>
      <c r="E18" s="1">
        <f>Table11[[#This Row],[Precipitation_N]]</f>
        <v>0.22160805616442703</v>
      </c>
      <c r="F18" s="1">
        <f>(Table8[[#This Row],[PIB_N]]+Table9[[#This Row],[Inflation_N_Inversion]])/2</f>
        <v>0.5</v>
      </c>
    </row>
    <row r="19" spans="1:6" x14ac:dyDescent="0.3">
      <c r="A19" t="s">
        <v>15</v>
      </c>
      <c r="B19" t="s">
        <v>21</v>
      </c>
      <c r="C19" s="1">
        <f>(Table3[[#This Row],[Production_N]]+Table6[[#This Row],[OO_N]]+Table4[[#This Row],[Exportation_N]])/3</f>
        <v>0.11222244045525875</v>
      </c>
      <c r="D19" s="1">
        <f>(Table2[[#This Row],[Consumption_N]]+Table5[[#This Row],[Importation_N_Inversion]])/2</f>
        <v>0.58232083113224165</v>
      </c>
      <c r="E19" s="1">
        <f>Table11[[#This Row],[Precipitation_N]]</f>
        <v>0.50479684869277941</v>
      </c>
      <c r="F19" s="1">
        <f>(Table8[[#This Row],[PIB_N]]+Table9[[#This Row],[Inflation_N_Inversion]])/2</f>
        <v>0.88336402701043593</v>
      </c>
    </row>
    <row r="20" spans="1:6" x14ac:dyDescent="0.3">
      <c r="A20" t="s">
        <v>16</v>
      </c>
      <c r="B20" t="s">
        <v>21</v>
      </c>
      <c r="C20" s="1">
        <f>(Table3[[#This Row],[Production_N]]+Table6[[#This Row],[OO_N]]+Table4[[#This Row],[Exportation_N]])/3</f>
        <v>0.2112958020234168</v>
      </c>
      <c r="D20" s="1">
        <f>(Table2[[#This Row],[Consumption_N]]+Table5[[#This Row],[Importation_N_Inversion]])/2</f>
        <v>0.57373857301555997</v>
      </c>
      <c r="E20" s="1">
        <f>Table11[[#This Row],[Precipitation_N]]</f>
        <v>0.26477969439944093</v>
      </c>
      <c r="F20" s="1">
        <f>(Table8[[#This Row],[PIB_N]]+Table9[[#This Row],[Inflation_N_Inversion]])/2</f>
        <v>0.40607734806629836</v>
      </c>
    </row>
    <row r="21" spans="1:6" x14ac:dyDescent="0.3">
      <c r="A21" t="s">
        <v>17</v>
      </c>
      <c r="B21" t="s">
        <v>21</v>
      </c>
      <c r="C21" s="1">
        <f>(Table3[[#This Row],[Production_N]]+Table6[[#This Row],[OO_N]]+Table4[[#This Row],[Exportation_N]])/3</f>
        <v>6.3677830499110841E-2</v>
      </c>
      <c r="D21" s="1">
        <f>(Table2[[#This Row],[Consumption_N]]+Table5[[#This Row],[Importation_N_Inversion]])/2</f>
        <v>0.56812678891231694</v>
      </c>
      <c r="E21" s="1">
        <f>Table11[[#This Row],[Precipitation_N]]</f>
        <v>0.4062708472314876</v>
      </c>
      <c r="F21" s="1">
        <f>(Table8[[#This Row],[PIB_N]]+Table9[[#This Row],[Inflation_N_Inversion]])/2</f>
        <v>0.59456210354000416</v>
      </c>
    </row>
    <row r="22" spans="1:6" x14ac:dyDescent="0.3">
      <c r="A22" t="s">
        <v>18</v>
      </c>
      <c r="B22" t="s">
        <v>21</v>
      </c>
      <c r="C22" s="1">
        <f>(Table3[[#This Row],[Production_N]]+Table6[[#This Row],[OO_N]]+Table4[[#This Row],[Exportation_N]])/3</f>
        <v>0.14531127770156721</v>
      </c>
      <c r="D22" s="1">
        <f>(Table2[[#This Row],[Consumption_N]]+Table5[[#This Row],[Importation_N_Inversion]])/2</f>
        <v>0.58628279626694835</v>
      </c>
      <c r="E22" s="1">
        <f>Table11[[#This Row],[Precipitation_N]]</f>
        <v>0.19435179008227707</v>
      </c>
      <c r="F22" s="1">
        <f>(Table8[[#This Row],[PIB_N]]+Table9[[#This Row],[Inflation_N_Inversion]])/2</f>
        <v>0.63159914057704114</v>
      </c>
    </row>
    <row r="23" spans="1:6" x14ac:dyDescent="0.3">
      <c r="A23" t="s">
        <v>11</v>
      </c>
      <c r="B23" t="s">
        <v>22</v>
      </c>
      <c r="C23" s="1">
        <f>(Table3[[#This Row],[Production_N]]+Table6[[#This Row],[OO_N]]+Table4[[#This Row],[Exportation_N]])/3</f>
        <v>0.15899980696983376</v>
      </c>
      <c r="D23" s="1">
        <f>(Table2[[#This Row],[Consumption_N]]+Table5[[#This Row],[Importation_N_Inversion]])/2</f>
        <v>0.69686732624648451</v>
      </c>
      <c r="E23" s="1">
        <f>Table11[[#This Row],[Precipitation_N]]</f>
        <v>1</v>
      </c>
      <c r="F23" s="1">
        <f>(Table8[[#This Row],[PIB_N]]+Table9[[#This Row],[Inflation_N_Inversion]])/2</f>
        <v>0.67252404338039695</v>
      </c>
    </row>
    <row r="24" spans="1:6" x14ac:dyDescent="0.3">
      <c r="A24" t="s">
        <v>13</v>
      </c>
      <c r="B24" t="s">
        <v>22</v>
      </c>
      <c r="C24" s="1">
        <f>(Table3[[#This Row],[Production_N]]+Table6[[#This Row],[OO_N]]+Table4[[#This Row],[Exportation_N]])/3</f>
        <v>0.12059830905667279</v>
      </c>
      <c r="D24" s="1">
        <f>(Table2[[#This Row],[Consumption_N]]+Table5[[#This Row],[Importation_N_Inversion]])/2</f>
        <v>0.57904466764297191</v>
      </c>
      <c r="E24" s="1">
        <f>Table11[[#This Row],[Precipitation_N]]</f>
        <v>0.933876552622383</v>
      </c>
      <c r="F24" s="1">
        <f>(Table8[[#This Row],[PIB_N]]+Table9[[#This Row],[Inflation_N_Inversion]])/2</f>
        <v>0.6873848987108655</v>
      </c>
    </row>
    <row r="25" spans="1:6" x14ac:dyDescent="0.3">
      <c r="A25" t="s">
        <v>14</v>
      </c>
      <c r="B25" t="s">
        <v>22</v>
      </c>
      <c r="C25" s="1">
        <f>(Table3[[#This Row],[Production_N]]+Table6[[#This Row],[OO_N]]+Table4[[#This Row],[Exportation_N]])/3</f>
        <v>0.1111171441643648</v>
      </c>
      <c r="D25" s="1">
        <f>(Table2[[#This Row],[Consumption_N]]+Table5[[#This Row],[Importation_N_Inversion]])/2</f>
        <v>0.69235907303636823</v>
      </c>
      <c r="E25" s="1">
        <f>Table11[[#This Row],[Precipitation_N]]</f>
        <v>0.63288223895295281</v>
      </c>
      <c r="F25" s="1">
        <f>(Table8[[#This Row],[PIB_N]]+Table9[[#This Row],[Inflation_N_Inversion]])/2</f>
        <v>0.45736136689175366</v>
      </c>
    </row>
    <row r="26" spans="1:6" x14ac:dyDescent="0.3">
      <c r="A26" t="s">
        <v>15</v>
      </c>
      <c r="B26" t="s">
        <v>22</v>
      </c>
      <c r="C26" s="1">
        <f>(Table3[[#This Row],[Production_N]]+Table6[[#This Row],[OO_N]]+Table4[[#This Row],[Exportation_N]])/3</f>
        <v>0.10892188459121828</v>
      </c>
      <c r="D26" s="1">
        <f>(Table2[[#This Row],[Consumption_N]]+Table5[[#This Row],[Importation_N_Inversion]])/2</f>
        <v>0.72236295298583963</v>
      </c>
      <c r="E26" s="1">
        <f>Table11[[#This Row],[Precipitation_N]]</f>
        <v>0.64717748340163284</v>
      </c>
      <c r="F26" s="1">
        <f>(Table8[[#This Row],[PIB_N]]+Table9[[#This Row],[Inflation_N_Inversion]])/2</f>
        <v>0.85648148148148151</v>
      </c>
    </row>
    <row r="27" spans="1:6" x14ac:dyDescent="0.3">
      <c r="A27" t="s">
        <v>16</v>
      </c>
      <c r="B27" t="s">
        <v>22</v>
      </c>
      <c r="C27" s="1">
        <f>(Table3[[#This Row],[Production_N]]+Table6[[#This Row],[OO_N]]+Table4[[#This Row],[Exportation_N]])/3</f>
        <v>8.3847671992363051E-2</v>
      </c>
      <c r="D27" s="1">
        <f>(Table2[[#This Row],[Consumption_N]]+Table5[[#This Row],[Importation_N_Inversion]])/2</f>
        <v>0.65872830395897441</v>
      </c>
      <c r="E27" s="1">
        <f>Table11[[#This Row],[Precipitation_N]]</f>
        <v>0.37369357349344001</v>
      </c>
      <c r="F27" s="1">
        <f>(Table8[[#This Row],[PIB_N]]+Table9[[#This Row],[Inflation_N_Inversion]])/2</f>
        <v>0.4515551463065276</v>
      </c>
    </row>
    <row r="28" spans="1:6" x14ac:dyDescent="0.3">
      <c r="A28" t="s">
        <v>17</v>
      </c>
      <c r="B28" t="s">
        <v>22</v>
      </c>
      <c r="C28" s="1">
        <f>(Table3[[#This Row],[Production_N]]+Table6[[#This Row],[OO_N]]+Table4[[#This Row],[Exportation_N]])/3</f>
        <v>0.10345842990059828</v>
      </c>
      <c r="D28" s="1">
        <f>(Table2[[#This Row],[Consumption_N]]+Table5[[#This Row],[Importation_N_Inversion]])/2</f>
        <v>0.62592800867940168</v>
      </c>
      <c r="E28" s="1">
        <f>Table11[[#This Row],[Precipitation_N]]</f>
        <v>0.7028018679119411</v>
      </c>
      <c r="F28" s="1">
        <f>(Table8[[#This Row],[PIB_N]]+Table9[[#This Row],[Inflation_N_Inversion]])/2</f>
        <v>0.46695314098629015</v>
      </c>
    </row>
    <row r="29" spans="1:6" x14ac:dyDescent="0.3">
      <c r="A29" t="s">
        <v>18</v>
      </c>
      <c r="B29" t="s">
        <v>22</v>
      </c>
      <c r="C29" s="1">
        <f>(Table3[[#This Row],[Production_N]]+Table6[[#This Row],[OO_N]]+Table4[[#This Row],[Exportation_N]])/3</f>
        <v>7.825389001808071E-2</v>
      </c>
      <c r="D29" s="1">
        <f>(Table2[[#This Row],[Consumption_N]]+Table5[[#This Row],[Importation_N_Inversion]])/2</f>
        <v>0.52450152734610878</v>
      </c>
      <c r="E29" s="1">
        <f>Table11[[#This Row],[Precipitation_N]]</f>
        <v>0.89793195463642428</v>
      </c>
      <c r="F29" s="1">
        <f>(Table8[[#This Row],[PIB_N]]+Table9[[#This Row],[Inflation_N_Inversion]])/2</f>
        <v>0.67162881113157358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showGridLines="0" tabSelected="1" zoomScaleNormal="100" workbookViewId="0">
      <selection activeCell="K14" sqref="K14"/>
    </sheetView>
  </sheetViews>
  <sheetFormatPr defaultRowHeight="14.4" x14ac:dyDescent="0.3"/>
  <cols>
    <col min="1" max="1" width="15.5546875" bestFit="1" customWidth="1"/>
    <col min="2" max="2" width="10" bestFit="1" customWidth="1"/>
    <col min="3" max="3" width="14.5546875" bestFit="1" customWidth="1"/>
    <col min="4" max="4" width="16.21875" customWidth="1"/>
    <col min="5" max="5" width="13" bestFit="1" customWidth="1"/>
    <col min="6" max="6" width="13.33203125" bestFit="1" customWidth="1"/>
    <col min="7" max="7" width="18.6640625" bestFit="1" customWidth="1"/>
    <col min="8" max="8" width="7.6640625" style="3" bestFit="1" customWidth="1"/>
    <col min="9" max="9" width="10.33203125" bestFit="1" customWidth="1"/>
    <col min="10" max="10" width="11" bestFit="1" customWidth="1"/>
    <col min="11" max="11" width="13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t="s">
        <v>8</v>
      </c>
      <c r="J1" t="s">
        <v>9</v>
      </c>
      <c r="K1" t="s">
        <v>10</v>
      </c>
    </row>
    <row r="2" spans="1:20" x14ac:dyDescent="0.3">
      <c r="A2" t="s">
        <v>11</v>
      </c>
      <c r="B2" t="s">
        <v>12</v>
      </c>
      <c r="C2">
        <f>525.7*1000</f>
        <v>525700</v>
      </c>
      <c r="D2">
        <f>1789.9*1000</f>
        <v>1789900</v>
      </c>
      <c r="E2">
        <f>355.8*1000</f>
        <v>355800</v>
      </c>
      <c r="F2">
        <f>84*1000</f>
        <v>84000</v>
      </c>
      <c r="G2">
        <f>591.1*1000</f>
        <v>591100</v>
      </c>
      <c r="H2" s="2">
        <v>2.4E-2</v>
      </c>
      <c r="I2" s="2">
        <v>1.7000000000000001E-2</v>
      </c>
      <c r="J2" s="1">
        <v>245.30077198866351</v>
      </c>
      <c r="K2">
        <v>828.26</v>
      </c>
      <c r="O2" s="66">
        <v>1000</v>
      </c>
    </row>
    <row r="3" spans="1:20" x14ac:dyDescent="0.3">
      <c r="A3" t="s">
        <v>13</v>
      </c>
      <c r="B3" t="s">
        <v>12</v>
      </c>
      <c r="C3">
        <f>518.6*1000</f>
        <v>518600</v>
      </c>
      <c r="D3">
        <f>1125.3*1000</f>
        <v>1125300</v>
      </c>
      <c r="E3">
        <f>420.7*1000</f>
        <v>420700</v>
      </c>
      <c r="F3">
        <f>151.9*1000</f>
        <v>151900</v>
      </c>
      <c r="G3" s="22">
        <f>458.2*1000</f>
        <v>458200</v>
      </c>
      <c r="H3" s="2">
        <v>0.02</v>
      </c>
      <c r="I3" s="2">
        <v>7.0000000000000001E-3</v>
      </c>
      <c r="J3" s="1">
        <v>184.9668501610679</v>
      </c>
      <c r="K3">
        <v>620.44000000000005</v>
      </c>
    </row>
    <row r="4" spans="1:20" x14ac:dyDescent="0.3">
      <c r="A4" t="s">
        <v>14</v>
      </c>
      <c r="B4" t="s">
        <v>12</v>
      </c>
      <c r="C4">
        <f>541.1*1000</f>
        <v>541100</v>
      </c>
      <c r="D4">
        <f>1389*1000</f>
        <v>1389000</v>
      </c>
      <c r="E4">
        <f>464.6*1000</f>
        <v>464600</v>
      </c>
      <c r="F4">
        <f>100.7*1000</f>
        <v>100700</v>
      </c>
      <c r="G4">
        <f>546.3*1000</f>
        <v>546300</v>
      </c>
      <c r="H4" s="2">
        <v>-0.03</v>
      </c>
      <c r="I4" s="2">
        <v>-3.0000000000000001E-3</v>
      </c>
      <c r="J4" s="1">
        <v>164.12043561896019</v>
      </c>
      <c r="K4">
        <v>675.41</v>
      </c>
      <c r="M4" s="1"/>
      <c r="N4" s="1"/>
      <c r="O4" s="1"/>
      <c r="P4" s="1"/>
      <c r="Q4" s="1"/>
      <c r="R4" s="1"/>
      <c r="S4" s="1"/>
    </row>
    <row r="5" spans="1:20" x14ac:dyDescent="0.3">
      <c r="A5" t="s">
        <v>15</v>
      </c>
      <c r="B5" t="s">
        <v>12</v>
      </c>
      <c r="C5">
        <f>579.9*1000</f>
        <v>579900</v>
      </c>
      <c r="D5">
        <f>1493*1000</f>
        <v>1493000</v>
      </c>
      <c r="E5">
        <f>468.1*1000</f>
        <v>468100</v>
      </c>
      <c r="F5">
        <f>85.6*1000</f>
        <v>85600</v>
      </c>
      <c r="G5">
        <f>659.3*1000</f>
        <v>659300</v>
      </c>
      <c r="H5" s="2">
        <v>5.0999999999999997E-2</v>
      </c>
      <c r="I5" s="13">
        <v>3.1E-2</v>
      </c>
      <c r="J5" s="1">
        <v>253.75594594594571</v>
      </c>
      <c r="K5">
        <v>661.64</v>
      </c>
    </row>
    <row r="6" spans="1:20" x14ac:dyDescent="0.3">
      <c r="A6" t="s">
        <v>16</v>
      </c>
      <c r="B6" t="s">
        <v>12</v>
      </c>
      <c r="C6">
        <f>363.2*1000</f>
        <v>363200</v>
      </c>
      <c r="D6">
        <f>665.8*1000</f>
        <v>665800</v>
      </c>
      <c r="E6">
        <f>316.5*1000</f>
        <v>316500</v>
      </c>
      <c r="F6">
        <f>97.8*1000</f>
        <v>97800</v>
      </c>
      <c r="G6">
        <f>414.1*1000</f>
        <v>414100</v>
      </c>
      <c r="H6" s="2">
        <v>5.5E-2</v>
      </c>
      <c r="I6" s="12">
        <v>8.4000000000000005E-2</v>
      </c>
      <c r="J6" s="1">
        <v>341.36704191616792</v>
      </c>
      <c r="K6">
        <v>638.66</v>
      </c>
      <c r="M6" s="1"/>
      <c r="N6" s="1"/>
      <c r="O6" s="1"/>
      <c r="P6" s="1"/>
      <c r="Q6" s="1"/>
      <c r="R6" s="1"/>
    </row>
    <row r="7" spans="1:20" x14ac:dyDescent="0.3">
      <c r="A7" t="s">
        <v>17</v>
      </c>
      <c r="B7" t="s">
        <v>12</v>
      </c>
      <c r="C7">
        <f>402.3*1000</f>
        <v>402300</v>
      </c>
      <c r="D7">
        <f>854*1000</f>
        <v>854000</v>
      </c>
      <c r="E7">
        <f>332.4*1000</f>
        <v>332400</v>
      </c>
      <c r="F7">
        <f>108.6*1000</f>
        <v>108600</v>
      </c>
      <c r="G7">
        <f>407.4*1000</f>
        <v>407400</v>
      </c>
      <c r="H7" s="2">
        <v>2.8000000000000001E-2</v>
      </c>
      <c r="I7" s="13">
        <v>3.5000000000000003E-2</v>
      </c>
      <c r="J7" s="1">
        <v>561.969357311321</v>
      </c>
      <c r="K7">
        <v>582.9</v>
      </c>
      <c r="N7" s="1"/>
      <c r="O7" s="1"/>
      <c r="P7" s="1"/>
      <c r="Q7" s="1"/>
      <c r="R7" s="1"/>
      <c r="S7" s="1"/>
      <c r="T7" s="1"/>
    </row>
    <row r="8" spans="1:20" x14ac:dyDescent="0.3">
      <c r="A8" t="s">
        <v>18</v>
      </c>
      <c r="B8" t="s">
        <v>12</v>
      </c>
      <c r="C8">
        <f>460*1000</f>
        <v>460000</v>
      </c>
      <c r="D8">
        <f>1289.9*1000</f>
        <v>1289900</v>
      </c>
      <c r="E8">
        <f>415.5*1000</f>
        <v>415500</v>
      </c>
      <c r="F8">
        <f>92.8*1000</f>
        <v>92800</v>
      </c>
      <c r="G8">
        <f>468.3*1000</f>
        <v>468300</v>
      </c>
      <c r="H8" s="2">
        <v>3.2000000000000001E-2</v>
      </c>
      <c r="I8" s="12">
        <v>2.8000000000000001E-2</v>
      </c>
      <c r="J8" s="1">
        <v>630.10107572115385</v>
      </c>
      <c r="K8">
        <v>705.35</v>
      </c>
      <c r="N8" s="1"/>
      <c r="O8" s="1"/>
      <c r="P8" s="1"/>
      <c r="Q8" s="1"/>
      <c r="R8" s="1"/>
      <c r="S8" s="1"/>
      <c r="T8" s="1"/>
    </row>
    <row r="9" spans="1:20" hidden="1" x14ac:dyDescent="0.3">
      <c r="A9" s="4" t="s">
        <v>19</v>
      </c>
      <c r="B9" s="4" t="s">
        <v>12</v>
      </c>
      <c r="C9" s="4"/>
      <c r="D9" s="4"/>
      <c r="E9" s="4"/>
      <c r="F9" s="4"/>
      <c r="G9" s="4"/>
      <c r="H9" s="6"/>
      <c r="I9" s="14"/>
      <c r="J9" s="5">
        <v>341.55793632075472</v>
      </c>
      <c r="K9" s="4"/>
      <c r="N9" s="1"/>
      <c r="O9" s="1"/>
      <c r="P9" s="1"/>
      <c r="Q9" s="1"/>
      <c r="R9" s="1"/>
      <c r="S9" s="1"/>
      <c r="T9" s="1"/>
    </row>
    <row r="10" spans="1:20" x14ac:dyDescent="0.3">
      <c r="A10" t="s">
        <v>11</v>
      </c>
      <c r="B10" t="s">
        <v>20</v>
      </c>
      <c r="C10">
        <f>54.4*1000</f>
        <v>54400</v>
      </c>
      <c r="D10">
        <f>100.3*1000</f>
        <v>100300</v>
      </c>
      <c r="E10">
        <f>64.9*1000</f>
        <v>64900.000000000007</v>
      </c>
      <c r="F10">
        <f>0.7*1000</f>
        <v>700</v>
      </c>
      <c r="G10" s="22">
        <f>22.5*1000</f>
        <v>22500</v>
      </c>
      <c r="H10" s="2">
        <v>2.9000000000000001E-2</v>
      </c>
      <c r="I10" s="13">
        <v>0.01</v>
      </c>
      <c r="J10" s="1">
        <v>309.5344827586207</v>
      </c>
      <c r="K10">
        <v>886.88</v>
      </c>
      <c r="N10" s="1"/>
      <c r="O10" s="1"/>
      <c r="P10" s="1"/>
      <c r="Q10" s="1"/>
      <c r="R10" s="1"/>
      <c r="S10" s="1"/>
      <c r="T10" s="1"/>
    </row>
    <row r="11" spans="1:20" x14ac:dyDescent="0.3">
      <c r="A11" t="s">
        <v>13</v>
      </c>
      <c r="B11" t="s">
        <v>20</v>
      </c>
      <c r="C11">
        <f>71.6*1000</f>
        <v>71600</v>
      </c>
      <c r="D11">
        <f>140.5*1000</f>
        <v>140500</v>
      </c>
      <c r="E11">
        <f>80.2*1000</f>
        <v>80200</v>
      </c>
      <c r="F11">
        <f>2.3*1000</f>
        <v>2300</v>
      </c>
      <c r="G11" s="22">
        <f>24.7*1000</f>
        <v>24700</v>
      </c>
      <c r="H11" s="2">
        <v>2.7E-2</v>
      </c>
      <c r="I11" s="12">
        <v>3.0000000000000001E-3</v>
      </c>
      <c r="J11" s="1">
        <v>270.42567567567568</v>
      </c>
      <c r="K11">
        <v>703.53</v>
      </c>
    </row>
    <row r="12" spans="1:20" x14ac:dyDescent="0.3">
      <c r="A12" t="s">
        <v>14</v>
      </c>
      <c r="B12" t="s">
        <v>20</v>
      </c>
      <c r="C12">
        <f>61.8*1000</f>
        <v>61800</v>
      </c>
      <c r="D12">
        <f>100*1000</f>
        <v>100000</v>
      </c>
      <c r="E12">
        <f>76.1*1000</f>
        <v>76100</v>
      </c>
      <c r="F12">
        <f>0.4*1000</f>
        <v>400</v>
      </c>
      <c r="G12" s="22">
        <f>15.6*1000</f>
        <v>15600</v>
      </c>
      <c r="H12" s="2">
        <v>-8.2000000000000003E-2</v>
      </c>
      <c r="I12" s="13">
        <v>0</v>
      </c>
      <c r="J12" s="1">
        <v>239.93975903614461</v>
      </c>
      <c r="K12">
        <v>710.88</v>
      </c>
      <c r="L12" s="1"/>
      <c r="M12" s="1"/>
      <c r="N12" s="1"/>
      <c r="O12" s="1"/>
      <c r="P12" s="1"/>
      <c r="Q12" s="1"/>
      <c r="R12" s="1"/>
      <c r="S12" s="1"/>
    </row>
    <row r="13" spans="1:20" x14ac:dyDescent="0.3">
      <c r="A13" t="s">
        <v>15</v>
      </c>
      <c r="B13" t="s">
        <v>20</v>
      </c>
      <c r="C13">
        <f>59.3*1000</f>
        <v>59300</v>
      </c>
      <c r="D13">
        <f>206.2*1000</f>
        <v>206200</v>
      </c>
      <c r="E13">
        <f>72.7*1000</f>
        <v>72700</v>
      </c>
      <c r="F13">
        <f>0*1000</f>
        <v>0</v>
      </c>
      <c r="G13" s="22">
        <f>25.5*1000</f>
        <v>25500</v>
      </c>
      <c r="H13" s="2">
        <v>5.6000000000000001E-2</v>
      </c>
      <c r="I13" s="12">
        <v>1.2999999999999999E-2</v>
      </c>
      <c r="J13" s="1">
        <v>294.60318015267171</v>
      </c>
      <c r="K13">
        <v>734.05</v>
      </c>
      <c r="M13" s="1"/>
      <c r="N13" s="1"/>
      <c r="O13" s="1"/>
      <c r="P13" s="1"/>
      <c r="Q13" s="1"/>
      <c r="R13" s="1"/>
      <c r="S13" s="1"/>
    </row>
    <row r="14" spans="1:20" x14ac:dyDescent="0.3">
      <c r="A14" t="s">
        <v>16</v>
      </c>
      <c r="B14" t="s">
        <v>20</v>
      </c>
      <c r="C14">
        <f>39.1*1000</f>
        <v>39100</v>
      </c>
      <c r="D14">
        <f>126*1000</f>
        <v>126000</v>
      </c>
      <c r="E14">
        <f>59*1000</f>
        <v>59000</v>
      </c>
      <c r="F14">
        <f>2.3*1000</f>
        <v>2300</v>
      </c>
      <c r="G14" s="22">
        <f>16.9*1000</f>
        <v>16900</v>
      </c>
      <c r="H14" s="2">
        <v>7.0000000000000007E-2</v>
      </c>
      <c r="I14" s="13">
        <v>7.8E-2</v>
      </c>
      <c r="J14" s="1">
        <v>336.48511875000003</v>
      </c>
      <c r="K14" t="s">
        <v>97</v>
      </c>
      <c r="M14" s="1"/>
      <c r="N14" s="1"/>
      <c r="O14" s="1"/>
      <c r="P14" s="1"/>
      <c r="Q14" s="1"/>
      <c r="R14" s="1"/>
      <c r="S14" s="1"/>
    </row>
    <row r="15" spans="1:20" x14ac:dyDescent="0.3">
      <c r="A15" t="s">
        <v>17</v>
      </c>
      <c r="B15" t="s">
        <v>20</v>
      </c>
      <c r="C15">
        <f>60.9*1000</f>
        <v>60900</v>
      </c>
      <c r="D15">
        <f>160.9*1000</f>
        <v>160900</v>
      </c>
      <c r="E15">
        <f>55.1*1000</f>
        <v>55100</v>
      </c>
      <c r="F15">
        <f>11.5*1000</f>
        <v>11500</v>
      </c>
      <c r="G15" s="22">
        <f>19.7*1000</f>
        <v>19700</v>
      </c>
      <c r="H15" s="2">
        <v>2.5999999999999999E-2</v>
      </c>
      <c r="I15" s="12">
        <v>4.2999999999999997E-2</v>
      </c>
      <c r="J15" s="1">
        <v>589.73076794871793</v>
      </c>
      <c r="K15">
        <v>721.1</v>
      </c>
      <c r="M15" s="1"/>
      <c r="N15" s="1"/>
      <c r="O15" s="1"/>
      <c r="P15" s="1"/>
      <c r="Q15" s="1"/>
      <c r="R15" s="1"/>
      <c r="S15" s="1"/>
    </row>
    <row r="16" spans="1:20" x14ac:dyDescent="0.3">
      <c r="A16" t="s">
        <v>18</v>
      </c>
      <c r="B16" t="s">
        <v>20</v>
      </c>
      <c r="C16">
        <f>72.4*1000</f>
        <v>72400</v>
      </c>
      <c r="D16">
        <f>195*1000</f>
        <v>195000</v>
      </c>
      <c r="E16">
        <f>60*1000</f>
        <v>60000</v>
      </c>
      <c r="F16">
        <f>13.7*1000</f>
        <v>13700</v>
      </c>
      <c r="G16" s="22">
        <f>21*1000</f>
        <v>21000</v>
      </c>
      <c r="H16" s="2">
        <v>1.9E-2</v>
      </c>
      <c r="I16" s="13">
        <v>2.4E-2</v>
      </c>
      <c r="J16" s="1">
        <v>840.98425196850394</v>
      </c>
      <c r="K16">
        <v>774.13</v>
      </c>
      <c r="N16" s="1"/>
      <c r="O16" s="1"/>
      <c r="P16" s="1"/>
      <c r="Q16" s="1"/>
      <c r="R16" s="1"/>
      <c r="S16" s="1"/>
      <c r="T16" s="1"/>
    </row>
    <row r="17" spans="1:20" hidden="1" x14ac:dyDescent="0.3">
      <c r="A17" s="4" t="s">
        <v>19</v>
      </c>
      <c r="B17" s="4" t="s">
        <v>20</v>
      </c>
      <c r="C17" s="4"/>
      <c r="D17" s="4"/>
      <c r="E17" s="4"/>
      <c r="F17" s="4"/>
      <c r="G17" s="23"/>
      <c r="H17" s="11"/>
      <c r="I17" s="14"/>
      <c r="J17" s="5">
        <v>587.40157480314963</v>
      </c>
      <c r="K17" s="4"/>
      <c r="N17" s="1"/>
      <c r="O17" s="1"/>
      <c r="P17" s="1"/>
      <c r="Q17" s="1"/>
      <c r="R17" s="1"/>
      <c r="S17" s="1"/>
      <c r="T17" s="1"/>
    </row>
    <row r="18" spans="1:20" x14ac:dyDescent="0.3">
      <c r="A18" t="s">
        <v>11</v>
      </c>
      <c r="B18" t="s">
        <v>21</v>
      </c>
      <c r="C18">
        <f>120*100</f>
        <v>12000</v>
      </c>
      <c r="D18">
        <f>185*1000</f>
        <v>185000</v>
      </c>
      <c r="E18">
        <f>20.2*1000</f>
        <v>20200</v>
      </c>
      <c r="F18">
        <f>0*1000</f>
        <v>0</v>
      </c>
      <c r="G18" s="22">
        <f>199*1000</f>
        <v>199000</v>
      </c>
      <c r="H18" s="2">
        <v>2.1000000000000001E-2</v>
      </c>
      <c r="I18" s="12">
        <v>6.0000000000000001E-3</v>
      </c>
      <c r="J18" s="1">
        <v>269.25496932515341</v>
      </c>
      <c r="K18">
        <v>913.35</v>
      </c>
      <c r="N18" s="1"/>
      <c r="O18" s="1"/>
      <c r="P18" s="1"/>
      <c r="Q18" s="1"/>
      <c r="R18" s="1"/>
      <c r="S18" s="1"/>
      <c r="T18" s="1"/>
    </row>
    <row r="19" spans="1:20" x14ac:dyDescent="0.3">
      <c r="A19" t="s">
        <v>13</v>
      </c>
      <c r="B19" t="s">
        <v>21</v>
      </c>
      <c r="C19">
        <f>114.3*1000</f>
        <v>114300</v>
      </c>
      <c r="D19">
        <f>275*1000</f>
        <v>275000</v>
      </c>
      <c r="E19">
        <f>20.8*1000</f>
        <v>20800</v>
      </c>
      <c r="F19">
        <f>0*1000</f>
        <v>0</v>
      </c>
      <c r="G19" s="22">
        <f>222*1000</f>
        <v>222000</v>
      </c>
      <c r="H19" s="2">
        <v>2.3E-2</v>
      </c>
      <c r="I19" s="13">
        <v>3.0000000000000001E-3</v>
      </c>
      <c r="J19" s="1">
        <v>229.40700062695919</v>
      </c>
      <c r="K19">
        <v>872.43</v>
      </c>
      <c r="N19" s="1"/>
      <c r="O19" s="1"/>
      <c r="P19" s="1"/>
      <c r="Q19" s="1"/>
      <c r="R19" s="1"/>
      <c r="S19" s="1"/>
      <c r="T19" s="1"/>
    </row>
    <row r="20" spans="1:20" x14ac:dyDescent="0.3">
      <c r="A20" t="s">
        <v>14</v>
      </c>
      <c r="B20" t="s">
        <v>21</v>
      </c>
      <c r="C20">
        <f>108.6*1000</f>
        <v>108600</v>
      </c>
      <c r="D20">
        <f>275*1000</f>
        <v>275000</v>
      </c>
      <c r="E20">
        <f>24.5*1000</f>
        <v>24500</v>
      </c>
      <c r="F20">
        <f>0.1*1000</f>
        <v>100</v>
      </c>
      <c r="G20" s="22">
        <f>230*1000</f>
        <v>230000</v>
      </c>
      <c r="H20" s="2">
        <v>-9.1999999999999998E-2</v>
      </c>
      <c r="I20" s="12">
        <v>-1.2E-2</v>
      </c>
      <c r="J20" s="1">
        <v>177.36952520593081</v>
      </c>
      <c r="K20">
        <v>722.42</v>
      </c>
      <c r="M20" s="1"/>
      <c r="N20" s="1"/>
      <c r="O20" s="1"/>
      <c r="P20" s="1"/>
      <c r="Q20" s="1"/>
      <c r="R20" s="1"/>
    </row>
    <row r="21" spans="1:20" x14ac:dyDescent="0.3">
      <c r="A21" t="s">
        <v>15</v>
      </c>
      <c r="B21" t="s">
        <v>21</v>
      </c>
      <c r="C21">
        <f>105.5*1000</f>
        <v>105500</v>
      </c>
      <c r="D21">
        <f>232*1000</f>
        <v>232000</v>
      </c>
      <c r="E21">
        <f>24.5*1000</f>
        <v>24500</v>
      </c>
      <c r="F21">
        <f>0*1000</f>
        <v>0</v>
      </c>
      <c r="G21" s="22">
        <f>175*1000</f>
        <v>175000</v>
      </c>
      <c r="H21" s="2">
        <v>8.6999999999999994E-2</v>
      </c>
      <c r="I21" s="13">
        <v>1.2E-2</v>
      </c>
      <c r="J21" s="1">
        <v>260.57058951219523</v>
      </c>
      <c r="K21">
        <v>900.71</v>
      </c>
    </row>
    <row r="22" spans="1:20" x14ac:dyDescent="0.3">
      <c r="A22" t="s">
        <v>16</v>
      </c>
      <c r="B22" t="s">
        <v>21</v>
      </c>
      <c r="C22">
        <f>96.5*1000</f>
        <v>96500</v>
      </c>
      <c r="D22">
        <f>345*1000</f>
        <v>345000</v>
      </c>
      <c r="E22">
        <f>23.3*1000</f>
        <v>23300</v>
      </c>
      <c r="F22">
        <f>0.2*1000</f>
        <v>200</v>
      </c>
      <c r="G22" s="22">
        <f>325*1000</f>
        <v>325000</v>
      </c>
      <c r="H22" s="2">
        <v>5.5E-2</v>
      </c>
      <c r="I22" s="12">
        <v>9.6000000000000002E-2</v>
      </c>
      <c r="J22" s="1">
        <v>312.26561630218703</v>
      </c>
      <c r="K22">
        <v>749.6</v>
      </c>
    </row>
    <row r="23" spans="1:20" x14ac:dyDescent="0.3">
      <c r="A23" t="s">
        <v>17</v>
      </c>
      <c r="B23" t="s">
        <v>21</v>
      </c>
      <c r="C23">
        <f>90.5*1000</f>
        <v>90500</v>
      </c>
      <c r="D23">
        <f>175*1000</f>
        <v>175000</v>
      </c>
      <c r="E23">
        <f>19.6*1000</f>
        <v>19600</v>
      </c>
      <c r="F23">
        <f>0.3*1000</f>
        <v>300</v>
      </c>
      <c r="G23" s="22">
        <f>110*1000</f>
        <v>110000</v>
      </c>
      <c r="H23" s="2">
        <v>2.1000000000000001E-2</v>
      </c>
      <c r="I23" s="13">
        <v>3.5000000000000003E-2</v>
      </c>
      <c r="J23" s="1">
        <v>549.13660973236028</v>
      </c>
      <c r="K23">
        <v>838.68</v>
      </c>
    </row>
    <row r="24" spans="1:20" x14ac:dyDescent="0.3">
      <c r="A24" t="s">
        <v>18</v>
      </c>
      <c r="B24" t="s">
        <v>21</v>
      </c>
      <c r="C24">
        <f>110*1000</f>
        <v>110000</v>
      </c>
      <c r="D24">
        <f>250*1000</f>
        <v>250000</v>
      </c>
      <c r="E24">
        <f>20*1000</f>
        <v>20000</v>
      </c>
      <c r="F24">
        <f>0*1000</f>
        <v>0</v>
      </c>
      <c r="G24" s="22">
        <f>238.5*1000</f>
        <v>238500</v>
      </c>
      <c r="H24" s="2">
        <v>2.1000000000000001E-2</v>
      </c>
      <c r="I24" s="12">
        <v>2.7E-2</v>
      </c>
      <c r="J24" s="1">
        <v>652.32392783783769</v>
      </c>
      <c r="K24">
        <v>705.26</v>
      </c>
    </row>
    <row r="25" spans="1:20" hidden="1" x14ac:dyDescent="0.3">
      <c r="A25" s="4" t="s">
        <v>19</v>
      </c>
      <c r="B25" s="4" t="s">
        <v>21</v>
      </c>
      <c r="C25" s="4"/>
      <c r="D25" s="4"/>
      <c r="E25" s="4"/>
      <c r="F25" s="4"/>
      <c r="G25" s="23"/>
      <c r="H25" s="11"/>
      <c r="I25" s="14"/>
      <c r="J25" s="5">
        <v>387.3</v>
      </c>
      <c r="K25" s="4"/>
    </row>
    <row r="26" spans="1:20" x14ac:dyDescent="0.3">
      <c r="A26" t="s">
        <v>11</v>
      </c>
      <c r="B26" t="s">
        <v>22</v>
      </c>
      <c r="C26">
        <f>417.3*1000</f>
        <v>417300</v>
      </c>
      <c r="D26">
        <f>173.6*1000</f>
        <v>173600</v>
      </c>
      <c r="E26">
        <f>197*1000</f>
        <v>197000</v>
      </c>
      <c r="F26">
        <f>48.6*1000</f>
        <v>48600</v>
      </c>
      <c r="G26" s="22">
        <f>40*1000</f>
        <v>40000</v>
      </c>
      <c r="H26" s="2">
        <v>8.9999999999999993E-3</v>
      </c>
      <c r="I26" s="13">
        <v>1.0999999999999999E-2</v>
      </c>
      <c r="J26" s="1">
        <v>316.12</v>
      </c>
      <c r="K26">
        <v>1212.48</v>
      </c>
      <c r="M26" s="1"/>
      <c r="N26" s="1"/>
      <c r="O26" s="1"/>
      <c r="P26" s="1"/>
      <c r="Q26" s="1"/>
      <c r="R26" s="1"/>
      <c r="S26" s="1"/>
    </row>
    <row r="27" spans="1:20" x14ac:dyDescent="0.3">
      <c r="A27" t="s">
        <v>13</v>
      </c>
      <c r="B27" t="s">
        <v>22</v>
      </c>
      <c r="C27">
        <f>407.6*1000</f>
        <v>407600</v>
      </c>
      <c r="D27">
        <f>366.5*1000</f>
        <v>366500</v>
      </c>
      <c r="E27">
        <f>80.2*1000</f>
        <v>80200</v>
      </c>
      <c r="F27">
        <f>81.8*1000</f>
        <v>81800</v>
      </c>
      <c r="G27" s="22">
        <f>60*1000</f>
        <v>60000</v>
      </c>
      <c r="H27" s="2">
        <v>6.0000000000000001E-3</v>
      </c>
      <c r="I27" s="12">
        <v>6.0000000000000001E-3</v>
      </c>
      <c r="J27" s="1">
        <v>288.07849813863942</v>
      </c>
      <c r="K27">
        <v>1170.8499999999999</v>
      </c>
    </row>
    <row r="28" spans="1:20" x14ac:dyDescent="0.3">
      <c r="A28" t="s">
        <v>14</v>
      </c>
      <c r="B28" t="s">
        <v>22</v>
      </c>
      <c r="C28">
        <f>421.9*1000</f>
        <v>421900</v>
      </c>
      <c r="D28">
        <f>273.5*1000</f>
        <v>273500</v>
      </c>
      <c r="E28">
        <f>76.1*1000</f>
        <v>76100</v>
      </c>
      <c r="F28">
        <f>51.2*1000</f>
        <v>51200</v>
      </c>
      <c r="G28" s="22">
        <f>83*1000</f>
        <v>83000</v>
      </c>
      <c r="H28" s="2">
        <v>-8.8999999999999996E-2</v>
      </c>
      <c r="I28" s="13">
        <v>-1E-3</v>
      </c>
      <c r="J28" s="1">
        <v>226.22652930930951</v>
      </c>
      <c r="K28">
        <v>981.35</v>
      </c>
    </row>
    <row r="29" spans="1:20" x14ac:dyDescent="0.3">
      <c r="A29" t="s">
        <v>15</v>
      </c>
      <c r="B29" t="s">
        <v>22</v>
      </c>
      <c r="C29">
        <f>457.1*1000</f>
        <v>457100</v>
      </c>
      <c r="D29">
        <f>329*1000</f>
        <v>329000</v>
      </c>
      <c r="E29">
        <f>72.7*1000</f>
        <v>72700</v>
      </c>
      <c r="F29">
        <f>51.5*1000</f>
        <v>51500</v>
      </c>
      <c r="G29" s="22">
        <f>62.5*1000</f>
        <v>62500</v>
      </c>
      <c r="H29" s="2">
        <v>8.8999999999999996E-2</v>
      </c>
      <c r="I29" s="12">
        <v>1.9E-2</v>
      </c>
      <c r="J29" s="1">
        <v>305.30891238670688</v>
      </c>
      <c r="K29">
        <v>990.35</v>
      </c>
    </row>
    <row r="30" spans="1:20" x14ac:dyDescent="0.3">
      <c r="A30" t="s">
        <v>16</v>
      </c>
      <c r="B30" t="s">
        <v>22</v>
      </c>
      <c r="C30">
        <f>433.8*1000</f>
        <v>433800</v>
      </c>
      <c r="D30">
        <f>240.9*1000</f>
        <v>240900</v>
      </c>
      <c r="E30">
        <f>59*1000</f>
        <v>59000</v>
      </c>
      <c r="F30">
        <f>64.6*1000</f>
        <v>64599.999999999993</v>
      </c>
      <c r="G30" s="22">
        <f>67.3*1000</f>
        <v>67300</v>
      </c>
      <c r="H30" s="2">
        <v>4.8000000000000001E-2</v>
      </c>
      <c r="I30" s="13">
        <v>8.2000000000000003E-2</v>
      </c>
      <c r="J30" s="1">
        <v>362.26008230452669</v>
      </c>
      <c r="K30">
        <v>818.17</v>
      </c>
    </row>
    <row r="31" spans="1:20" x14ac:dyDescent="0.3">
      <c r="A31" t="s">
        <v>17</v>
      </c>
      <c r="B31" t="s">
        <v>22</v>
      </c>
      <c r="C31">
        <f>411.5*1000</f>
        <v>411500</v>
      </c>
      <c r="D31">
        <f>328.5*1000</f>
        <v>328500</v>
      </c>
      <c r="E31">
        <f>55.1*1000</f>
        <v>55100</v>
      </c>
      <c r="F31">
        <f>68.6*1000</f>
        <v>68600</v>
      </c>
      <c r="G31" s="22">
        <f>77.4*1000</f>
        <v>77400</v>
      </c>
      <c r="H31" s="2">
        <v>0.01</v>
      </c>
      <c r="I31" s="12">
        <v>5.6000000000000001E-2</v>
      </c>
      <c r="J31" s="1">
        <v>594.58064516129036</v>
      </c>
      <c r="K31">
        <v>1025.3699999999999</v>
      </c>
    </row>
    <row r="32" spans="1:20" x14ac:dyDescent="0.3">
      <c r="A32" t="s">
        <v>18</v>
      </c>
      <c r="B32" t="s">
        <v>22</v>
      </c>
      <c r="C32">
        <f>395*1000</f>
        <v>395000</v>
      </c>
      <c r="D32">
        <f>224*1000</f>
        <v>224000</v>
      </c>
      <c r="E32">
        <f>60*1000</f>
        <v>60000</v>
      </c>
      <c r="F32">
        <f>60*1000</f>
        <v>60000</v>
      </c>
      <c r="G32">
        <f>60*1000</f>
        <v>60000</v>
      </c>
      <c r="H32" s="2">
        <v>7.0000000000000001E-3</v>
      </c>
      <c r="I32" s="13">
        <v>0.01</v>
      </c>
      <c r="J32" s="1">
        <v>717.17688679245282</v>
      </c>
      <c r="K32">
        <v>1148.22</v>
      </c>
    </row>
    <row r="33" spans="1:11" hidden="1" x14ac:dyDescent="0.3">
      <c r="A33" s="4" t="s">
        <v>19</v>
      </c>
      <c r="B33" s="4" t="s">
        <v>22</v>
      </c>
      <c r="C33" s="5"/>
      <c r="D33" s="5"/>
      <c r="E33" s="5"/>
      <c r="F33" s="5"/>
      <c r="G33" s="5"/>
      <c r="H33" s="8"/>
      <c r="I33" s="6"/>
      <c r="J33" s="5">
        <v>578.42560000000003</v>
      </c>
      <c r="K33" s="5"/>
    </row>
    <row r="34" spans="1:11" x14ac:dyDescent="0.3">
      <c r="A34" t="s">
        <v>11</v>
      </c>
      <c r="B34" t="s">
        <v>95</v>
      </c>
      <c r="C34">
        <f>GETPIVOTDATA("Tonnes",[1]Sheet1!$A$5,"Haverst period","2018/19","Country","Morocco","Indicator","C")*$O$2</f>
        <v>32000</v>
      </c>
      <c r="D34">
        <f>GETPIVOTDATA("Tonnes",[1]Sheet1!$A$5,"Haverst period","2018/19","Country","Morocco","Indicator","P")*$O$2</f>
        <v>130000</v>
      </c>
      <c r="E34">
        <f>GETPIVOTDATA("Tonnes",[1]Sheet1!$A$5,"Haverst period","2018/19","Country","Morocco","Indicator","E")*$O$2</f>
        <v>98500</v>
      </c>
      <c r="F34">
        <f>GETPIVOTDATA("Tonnes",[1]Sheet1!$A$5,"Haverst period","2018/19","Country","Morocco","Indicator","I")*$O$2</f>
        <v>1000</v>
      </c>
      <c r="G34">
        <f>GETPIVOTDATA("Tonnes",[1]Sheet1!$A$5,"Haverst period","2018/19","Country","Morocco","Indicator","P")*$O$2</f>
        <v>130000</v>
      </c>
      <c r="H34" s="64"/>
      <c r="I34" s="65"/>
      <c r="J34" s="1"/>
      <c r="K34" s="1"/>
    </row>
    <row r="35" spans="1:11" x14ac:dyDescent="0.3">
      <c r="A35" t="s">
        <v>13</v>
      </c>
      <c r="B35" t="s">
        <v>95</v>
      </c>
      <c r="C35">
        <f>GETPIVOTDATA("Tonnes",[1]Sheet1!$A$5,"Haverst period","2019/20","Country","Morocco","Indicator","C")*$O$2</f>
        <v>35000</v>
      </c>
      <c r="D35">
        <f>GETPIVOTDATA("Tonnes",[1]Sheet1!$A$5,"Haverst period","2019/20","Country","Morocco","Indicator","P")*$O$2</f>
        <v>135000</v>
      </c>
      <c r="E35">
        <f>GETPIVOTDATA("Tonnes",[1]Sheet1!$A$5,"Haverst period","2019/20","Country","Morocco","Indicator","E")*$O$2</f>
        <v>85000</v>
      </c>
      <c r="F35">
        <f>GETPIVOTDATA("Tonnes",[1]Sheet1!$A$5,"Haverst period","2019/20","Country","Morocco","Indicator","I")*$O$2</f>
        <v>500</v>
      </c>
      <c r="G35">
        <f>GETPIVOTDATA("Tonnes",[1]Sheet1!$A$5,"Haverst period","2019/20","Country","Morocco","Indicator","P")*$O$2</f>
        <v>135000</v>
      </c>
      <c r="H35" s="64"/>
      <c r="I35" s="65"/>
      <c r="J35" s="1"/>
      <c r="K35" s="1"/>
    </row>
    <row r="36" spans="1:11" x14ac:dyDescent="0.3">
      <c r="A36" t="s">
        <v>14</v>
      </c>
      <c r="B36" t="s">
        <v>95</v>
      </c>
      <c r="C36">
        <f>GETPIVOTDATA("Tonnes",[1]Sheet1!$A$5,"Haverst period","2020/21","Country","Morocco","Indicator","C")*O2</f>
        <v>36000</v>
      </c>
      <c r="D36">
        <f>GETPIVOTDATA("Tonnes",[1]Sheet1!$A$5,"Haverst period","2020/21","Country","Morocco","Indicator","P")*$O$2</f>
        <v>130000</v>
      </c>
      <c r="E36">
        <f>GETPIVOTDATA("Tonnes",[1]Sheet1!$A$5,"Haverst period","2020/21","Country","Morocco","Indicator","E")*$O$2</f>
        <v>109000</v>
      </c>
      <c r="F36">
        <f>GETPIVOTDATA("Tonnes",[1]Sheet1!$A$5,"Haverst period","2020/21","Country","Morocco","Indicator","I")*$O$2</f>
        <v>500</v>
      </c>
      <c r="G36">
        <f>GETPIVOTDATA("Tonnes",[1]Sheet1!$A$5,"Haverst period","2020/21","Country","Morocco","Indicator","P")*$O$2</f>
        <v>130000</v>
      </c>
      <c r="H36" s="64"/>
      <c r="I36" s="65"/>
      <c r="J36" s="1"/>
      <c r="K36" s="1"/>
    </row>
    <row r="37" spans="1:11" x14ac:dyDescent="0.3">
      <c r="A37" t="s">
        <v>15</v>
      </c>
      <c r="B37" t="s">
        <v>95</v>
      </c>
      <c r="C37">
        <f>GETPIVOTDATA("Tonnes",[1]Sheet1!$A$5,"Haverst period","2021/22","Country","Morocco","Indicator","C")*O2</f>
        <v>38000</v>
      </c>
      <c r="D37">
        <f>GETPIVOTDATA("Tonnes",[1]Sheet1!$A$5,"Haverst period","2021/22","Country","Morocco","Indicator","P")*$O$2</f>
        <v>130000</v>
      </c>
      <c r="E37">
        <f>GETPIVOTDATA("Tonnes",[1]Sheet1!$A$5,"Haverst period","2021/22","Country","Morocco","Indicator","E")*$O$2</f>
        <v>76500</v>
      </c>
      <c r="F37">
        <f>GETPIVOTDATA("Tonnes",[1]Sheet1!$A$5,"Haverst period","2021/22","Country","Morocco","Indicator","I")*$O$2</f>
        <v>500</v>
      </c>
      <c r="G37">
        <f>GETPIVOTDATA("Tonnes",[1]Sheet1!$A$5,"Haverst period","2021/22","Country","Morocco","Indicator","P")*$O$2</f>
        <v>130000</v>
      </c>
      <c r="H37" s="64"/>
      <c r="I37" s="65"/>
      <c r="J37" s="1"/>
      <c r="K37" s="1"/>
    </row>
    <row r="38" spans="1:11" x14ac:dyDescent="0.3">
      <c r="A38" t="s">
        <v>16</v>
      </c>
      <c r="B38" t="s">
        <v>95</v>
      </c>
      <c r="C38">
        <f>GETPIVOTDATA("Tonnes",[1]Sheet1!$A$5,"Haverst period","2022/23","Country","Morocco","Indicator","C")*O2</f>
        <v>40000</v>
      </c>
      <c r="D38">
        <f>GETPIVOTDATA("Tonnes",[1]Sheet1!$A$5,"Haverst period","2022/23","Country","Morocco","Indicator","P")*$O$2</f>
        <v>120000</v>
      </c>
      <c r="E38">
        <f>GETPIVOTDATA("Tonnes",[1]Sheet1!$A$5,"Haverst period","2022/23","Country","Morocco","Indicator","E")*$O$2</f>
        <v>87000</v>
      </c>
      <c r="F38">
        <f>GETPIVOTDATA("Tonnes",[1]Sheet1!$A$5,"Haverst period","2022/23","Country","Morocco","Indicator","I")*$O$2</f>
        <v>3500</v>
      </c>
      <c r="G38">
        <f>GETPIVOTDATA("Tonnes",[1]Sheet1!$A$5,"Haverst period","2022/23","Country","Morocco","Indicator","P")*$O$2</f>
        <v>120000</v>
      </c>
      <c r="H38" s="64"/>
      <c r="I38" s="65"/>
      <c r="J38" s="1"/>
      <c r="K38" s="1"/>
    </row>
    <row r="39" spans="1:11" x14ac:dyDescent="0.3">
      <c r="A39" t="s">
        <v>17</v>
      </c>
      <c r="B39" t="s">
        <v>95</v>
      </c>
      <c r="C39">
        <f>GETPIVOTDATA("Tonnes",[1]Sheet1!$A$5,"Haverst period","2023/24","Country","Morocco","Indicator","C")*O2</f>
        <v>40000</v>
      </c>
      <c r="D39">
        <f>GETPIVOTDATA("Tonnes",[1]Sheet1!$A$5,"Haverst period","2023/24","Country","Morocco","Indicator","P")*$O$2</f>
        <v>120000</v>
      </c>
      <c r="E39">
        <f>GETPIVOTDATA("Tonnes",[1]Sheet1!$A$5,"Haverst period","2023/24","Country","Morocco","Indicator","E")*$O$2</f>
        <v>67500</v>
      </c>
      <c r="F39">
        <f>GETPIVOTDATA("Tonnes",[1]Sheet1!$A$5,"Haverst period","2023/24","Country","Morocco","Indicator","I")*$O$2</f>
        <v>0</v>
      </c>
      <c r="G39">
        <f>GETPIVOTDATA("Tonnes",[1]Sheet1!$A$5,"Haverst period","2023/24","Country","Morocco","Indicator","P")*$O$2</f>
        <v>120000</v>
      </c>
      <c r="H39" s="64"/>
      <c r="I39" s="65"/>
      <c r="J39" s="1"/>
      <c r="K39" s="1"/>
    </row>
    <row r="40" spans="1:11" x14ac:dyDescent="0.3">
      <c r="A40" t="s">
        <v>18</v>
      </c>
      <c r="B40" t="s">
        <v>95</v>
      </c>
      <c r="C40">
        <f>GETPIVOTDATA("Tonnes",[1]Sheet1!$A$5,"Haverst period","2024/25","Country","Morocco","Indicator","C")*O2</f>
        <v>40000</v>
      </c>
      <c r="D40">
        <f>GETPIVOTDATA("Tonnes",[1]Sheet1!$A$5,"Haverst period","2024/25","Country","Morocco","Indicator","P")*$O$2</f>
        <v>120000</v>
      </c>
      <c r="E40">
        <f>GETPIVOTDATA("Tonnes",[1]Sheet1!$A$5,"Haverst period","2024/25","Country","Morocco","Indicator","E")*$O$2</f>
        <v>88000</v>
      </c>
      <c r="F40">
        <f>GETPIVOTDATA("Tonnes",[1]Sheet1!$A$5,"Haverst period","2024/25","Country","Morocco","Indicator","I")*$O$2</f>
        <v>0</v>
      </c>
      <c r="G40">
        <f>GETPIVOTDATA("Tonnes",[1]Sheet1!$A$5,"Haverst period","2024/25","Country","Morocco","Indicator","P")*$O$2</f>
        <v>120000</v>
      </c>
      <c r="H40" s="64"/>
      <c r="I40" s="65"/>
      <c r="J40" s="1"/>
      <c r="K40" s="1"/>
    </row>
    <row r="41" spans="1:11" x14ac:dyDescent="0.3">
      <c r="A41" t="s">
        <v>11</v>
      </c>
      <c r="B41" t="s">
        <v>96</v>
      </c>
      <c r="C41">
        <f>GETPIVOTDATA("Tonnes",[1]Sheet1!$A$5,"Haverst period","2018/19","Country","Tunisia","Indicator","C")*$O$2</f>
        <v>24000</v>
      </c>
      <c r="D41">
        <f>GETPIVOTDATA("Tonnes",[1]Sheet1!$A$5,"Haverst period","2018/19","Country","Tunisia","Indicator","P")*$O$2</f>
        <v>23000</v>
      </c>
      <c r="E41">
        <f>GETPIVOTDATA("Tonnes",[1]Sheet1!$A$5,"Haverst period","2018/19","Country","Tunisia","Indicator","E")*$O$2</f>
        <v>0</v>
      </c>
      <c r="F41">
        <f>GETPIVOTDATA("Tonnes",[1]Sheet1!$A$5,"Haverst period","2018/19","Country","Tunisia","Indicator","I")*$O$2</f>
        <v>0</v>
      </c>
      <c r="G41">
        <f>GETPIVOTDATA("Tonnes",[1]Sheet1!$A$5,"Haverst period","2018/19","Country","Tunisia","Indicator","P")*$O$2</f>
        <v>23000</v>
      </c>
      <c r="H41" s="64"/>
      <c r="I41" s="65"/>
      <c r="J41" s="1"/>
      <c r="K41" s="1"/>
    </row>
    <row r="42" spans="1:11" x14ac:dyDescent="0.3">
      <c r="A42" t="s">
        <v>13</v>
      </c>
      <c r="B42" t="s">
        <v>96</v>
      </c>
      <c r="C42">
        <f>GETPIVOTDATA("Tonnes",[1]Sheet1!$A$5,"Haverst period","2019/20","Country","Tunisia","Indicator","C")*$O$2</f>
        <v>31000</v>
      </c>
      <c r="D42">
        <f>GETPIVOTDATA("Tonnes",[1]Sheet1!$A$5,"Haverst period","2019/20","Country","Tunisia","Indicator","P")*$O$2</f>
        <v>36000</v>
      </c>
      <c r="E42">
        <f>GETPIVOTDATA("Tonnes",[1]Sheet1!$A$5,"Haverst period","2019/20","Country","Tunisia","Indicator","E")*$O$2</f>
        <v>0</v>
      </c>
      <c r="F42">
        <f>GETPIVOTDATA("Tonnes",[1]Sheet1!$A$5,"Haverst period","2019/20","Country","Tunisia","Indicator","I")*$O$2</f>
        <v>0</v>
      </c>
      <c r="G42">
        <f>GETPIVOTDATA("Tonnes",[1]Sheet1!$A$5,"Haverst period","2019/20","Country","Tunisia","Indicator","P")*$O$2</f>
        <v>36000</v>
      </c>
      <c r="H42" s="64"/>
      <c r="I42" s="65"/>
      <c r="J42" s="1"/>
      <c r="K42" s="1"/>
    </row>
    <row r="43" spans="1:11" x14ac:dyDescent="0.3">
      <c r="A43" t="s">
        <v>14</v>
      </c>
      <c r="B43" t="s">
        <v>96</v>
      </c>
      <c r="C43">
        <f>GETPIVOTDATA("Tonnes",[1]Sheet1!$A$5,"Haverst period","2020/21","Country","Tunisia","Indicator","C")*$O$2</f>
        <v>24500</v>
      </c>
      <c r="D43">
        <f>GETPIVOTDATA("Tonnes",[1]Sheet1!$A$5,"Haverst period","2020/21","Country","Tunisia","Indicator","P")*$O$2</f>
        <v>20000</v>
      </c>
      <c r="E43">
        <f>GETPIVOTDATA("Tonnes",[1]Sheet1!$A$5,"Haverst period","2020/21","Country","Tunisia","Indicator","E")*$O$2</f>
        <v>500</v>
      </c>
      <c r="F43">
        <f>GETPIVOTDATA("Tonnes",[1]Sheet1!$A$5,"Haverst period","2020/21","Country","Tunisia","Indicator","I")*$O$2</f>
        <v>0</v>
      </c>
      <c r="G43">
        <f>GETPIVOTDATA("Tonnes",[1]Sheet1!$A$5,"Haverst period","2020/21","Country","Tunisia","Indicator","P")*$O$2</f>
        <v>20000</v>
      </c>
      <c r="H43" s="64"/>
      <c r="I43" s="65"/>
      <c r="J43" s="1"/>
      <c r="K43" s="1"/>
    </row>
    <row r="44" spans="1:11" x14ac:dyDescent="0.3">
      <c r="A44" t="s">
        <v>15</v>
      </c>
      <c r="B44" t="s">
        <v>96</v>
      </c>
      <c r="C44">
        <f>GETPIVOTDATA("Tonnes",[1]Sheet1!$A$5,"Haverst period","2021/22","Country","Tunisia","Indicator","C")*$O$2</f>
        <v>24500</v>
      </c>
      <c r="D44">
        <f>GETPIVOTDATA("Tonnes",[1]Sheet1!$A$5,"Haverst period","2021/22","Country","Tunisia","Indicator","P")*$O$2</f>
        <v>25000</v>
      </c>
      <c r="E44">
        <f>GETPIVOTDATA("Tonnes",[1]Sheet1!$A$5,"Haverst period","2021/22","Country","Tunisia","Indicator","E")*$O$2</f>
        <v>500</v>
      </c>
      <c r="F44">
        <f>GETPIVOTDATA("Tonnes",[1]Sheet1!$A$5,"Haverst period","2021/22","Country","Tunisia","Indicator","I")*$O$2</f>
        <v>0</v>
      </c>
      <c r="G44">
        <f>GETPIVOTDATA("Tonnes",[1]Sheet1!$A$5,"Haverst period","2021/22","Country","Tunisia","Indicator","P")*$O$2</f>
        <v>25000</v>
      </c>
      <c r="H44" s="64"/>
      <c r="I44" s="65"/>
      <c r="J44" s="1"/>
      <c r="K44" s="1"/>
    </row>
    <row r="45" spans="1:11" x14ac:dyDescent="0.3">
      <c r="A45" t="s">
        <v>16</v>
      </c>
      <c r="B45" t="s">
        <v>96</v>
      </c>
      <c r="C45">
        <f>GETPIVOTDATA("Tonnes",[1]Sheet1!$A$5,"Haverst period","2022/23","Country","Tunisia","Indicator","C")*$O$2</f>
        <v>26500</v>
      </c>
      <c r="D45">
        <f>GETPIVOTDATA("Tonnes",[1]Sheet1!$A$5,"Haverst period","2022/23","Country","Tunisia","Indicator","P")*$O$2</f>
        <v>28000</v>
      </c>
      <c r="E45">
        <f>GETPIVOTDATA("Tonnes",[1]Sheet1!$A$5,"Haverst period","2022/23","Country","Tunisia","Indicator","E")*$O$2</f>
        <v>500</v>
      </c>
      <c r="F45">
        <f>GETPIVOTDATA("Tonnes",[1]Sheet1!$A$5,"Haverst period","2022/23","Country","Tunisia","Indicator","I")*$O$2</f>
        <v>0</v>
      </c>
      <c r="G45">
        <f>GETPIVOTDATA("Tonnes",[1]Sheet1!$A$5,"Haverst period","2022/23","Country","Tunisia","Indicator","P")*$O$2</f>
        <v>28000</v>
      </c>
      <c r="H45" s="64"/>
      <c r="I45" s="65"/>
      <c r="J45" s="1"/>
      <c r="K45" s="1"/>
    </row>
    <row r="46" spans="1:11" x14ac:dyDescent="0.3">
      <c r="A46" t="s">
        <v>17</v>
      </c>
      <c r="B46" t="s">
        <v>96</v>
      </c>
      <c r="C46">
        <f>GETPIVOTDATA("Tonnes",[1]Sheet1!$A$5,"Haverst period","2023/24","Country","Tunisia","Indicator","C")*$O$2</f>
        <v>24000</v>
      </c>
      <c r="D46">
        <f>GETPIVOTDATA("Tonnes",[1]Sheet1!$A$5,"Haverst period","2023/24","Country","Tunisia","Indicator","P")*$O$2</f>
        <v>24000</v>
      </c>
      <c r="E46">
        <f>GETPIVOTDATA("Tonnes",[1]Sheet1!$A$5,"Haverst period","2023/24","Country","Tunisia","Indicator","E")*$O$2</f>
        <v>1000</v>
      </c>
      <c r="F46">
        <f>GETPIVOTDATA("Tonnes",[1]Sheet1!$A$5,"Haverst period","2023/24","Country","Tunisia","Indicator","I")*$O$2</f>
        <v>0</v>
      </c>
      <c r="G46">
        <f>GETPIVOTDATA("Tonnes",[1]Sheet1!$A$5,"Haverst period","2023/24","Country","Tunisia","Indicator","P")*$O$2</f>
        <v>24000</v>
      </c>
      <c r="H46" s="64"/>
      <c r="I46" s="65"/>
      <c r="J46" s="1"/>
      <c r="K46" s="1"/>
    </row>
    <row r="47" spans="1:11" x14ac:dyDescent="0.3">
      <c r="A47" t="s">
        <v>18</v>
      </c>
      <c r="B47" t="s">
        <v>96</v>
      </c>
      <c r="C47">
        <f>GETPIVOTDATA("Tonnes",[1]Sheet1!$A$5,"Haverst period","2024/25","Country","Tunisia","Indicator","C")*$O$2</f>
        <v>26000</v>
      </c>
      <c r="D47">
        <f>GETPIVOTDATA("Tonnes",[1]Sheet1!$A$5,"Haverst period","2024/25","Country","Tunisia","Indicator","P")*$O$2</f>
        <v>28000</v>
      </c>
      <c r="E47">
        <f>GETPIVOTDATA("Tonnes",[1]Sheet1!$A$5,"Haverst period","2024/25","Country","Tunisia","Indicator","E")*$O$2</f>
        <v>1000</v>
      </c>
      <c r="F47">
        <f>GETPIVOTDATA("Tonnes",[1]Sheet1!$A$5,"Haverst period","2024/25","Country","Tunisia","Indicator","I")*$O$2</f>
        <v>0</v>
      </c>
      <c r="G47">
        <f>GETPIVOTDATA("Tonnes",[1]Sheet1!$A$5,"Haverst period","2024/25","Country","Tunisia","Indicator","P")*$O$2</f>
        <v>28000</v>
      </c>
      <c r="H47" s="64"/>
      <c r="I47" s="65"/>
      <c r="J47" s="1"/>
      <c r="K47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5"/>
  <sheetViews>
    <sheetView workbookViewId="0">
      <selection activeCell="L32" sqref="L32:L35"/>
    </sheetView>
  </sheetViews>
  <sheetFormatPr defaultRowHeight="14.4" x14ac:dyDescent="0.3"/>
  <cols>
    <col min="1" max="1" width="16.21875" customWidth="1"/>
    <col min="2" max="2" width="10.44140625" customWidth="1"/>
    <col min="3" max="3" width="10" bestFit="1" customWidth="1"/>
    <col min="4" max="4" width="18" customWidth="1"/>
    <col min="6" max="6" width="11.5546875" bestFit="1" customWidth="1"/>
    <col min="7" max="7" width="10" bestFit="1" customWidth="1"/>
    <col min="8" max="8" width="20.109375" customWidth="1"/>
    <col min="9" max="9" width="9" bestFit="1" customWidth="1"/>
    <col min="11" max="11" width="10" bestFit="1" customWidth="1"/>
    <col min="12" max="12" width="9" bestFit="1" customWidth="1"/>
    <col min="13" max="13" width="10" bestFit="1" customWidth="1"/>
    <col min="14" max="14" width="9" bestFit="1" customWidth="1"/>
    <col min="16" max="16" width="10" bestFit="1" customWidth="1"/>
    <col min="17" max="17" width="9" bestFit="1" customWidth="1"/>
    <col min="18" max="18" width="10" bestFit="1" customWidth="1"/>
    <col min="19" max="20" width="9" bestFit="1" customWidth="1"/>
    <col min="22" max="22" width="10" bestFit="1" customWidth="1"/>
    <col min="23" max="23" width="9" bestFit="1" customWidth="1"/>
    <col min="24" max="24" width="10" bestFit="1" customWidth="1"/>
    <col min="25" max="25" width="9" bestFit="1" customWidth="1"/>
    <col min="27" max="30" width="9" bestFit="1" customWidth="1"/>
    <col min="32" max="36" width="9" bestFit="1" customWidth="1"/>
    <col min="38" max="41" width="9" bestFit="1" customWidth="1"/>
    <col min="42" max="42" width="12.109375" bestFit="1" customWidth="1"/>
    <col min="44" max="44" width="17" bestFit="1" customWidth="1"/>
    <col min="45" max="46" width="9" bestFit="1" customWidth="1"/>
    <col min="47" max="47" width="14.21875" bestFit="1" customWidth="1"/>
    <col min="48" max="48" width="14.109375" customWidth="1"/>
    <col min="49" max="51" width="12" bestFit="1" customWidth="1"/>
    <col min="52" max="52" width="13.77734375" bestFit="1" customWidth="1"/>
    <col min="53" max="53" width="12" bestFit="1" customWidth="1"/>
  </cols>
  <sheetData>
    <row r="1" spans="1:53" x14ac:dyDescent="0.3">
      <c r="A1" s="47" t="s">
        <v>2</v>
      </c>
      <c r="B1" s="47" t="s">
        <v>29</v>
      </c>
      <c r="C1" s="47" t="s">
        <v>30</v>
      </c>
      <c r="D1" s="47" t="s">
        <v>31</v>
      </c>
      <c r="E1" s="47" t="s">
        <v>46</v>
      </c>
      <c r="F1" s="47" t="s">
        <v>3</v>
      </c>
      <c r="G1" s="47" t="s">
        <v>47</v>
      </c>
      <c r="H1" s="47" t="s">
        <v>48</v>
      </c>
      <c r="I1" s="47" t="s">
        <v>32</v>
      </c>
      <c r="J1" s="47" t="s">
        <v>49</v>
      </c>
      <c r="K1" s="47" t="s">
        <v>4</v>
      </c>
      <c r="L1" s="47" t="s">
        <v>50</v>
      </c>
      <c r="M1" s="47" t="s">
        <v>51</v>
      </c>
      <c r="N1" s="47" t="s">
        <v>33</v>
      </c>
      <c r="O1" s="47" t="s">
        <v>52</v>
      </c>
      <c r="P1" s="47" t="s">
        <v>5</v>
      </c>
      <c r="Q1" s="47" t="s">
        <v>53</v>
      </c>
      <c r="R1" s="47" t="s">
        <v>54</v>
      </c>
      <c r="S1" s="47" t="s">
        <v>34</v>
      </c>
      <c r="T1" s="47" t="s">
        <v>35</v>
      </c>
      <c r="U1" s="47" t="s">
        <v>55</v>
      </c>
      <c r="V1" s="47" t="s">
        <v>6</v>
      </c>
      <c r="W1" s="47" t="s">
        <v>56</v>
      </c>
      <c r="X1" s="47" t="s">
        <v>57</v>
      </c>
      <c r="Y1" s="47" t="s">
        <v>36</v>
      </c>
      <c r="Z1" s="47" t="s">
        <v>58</v>
      </c>
      <c r="AA1" s="47" t="s">
        <v>7</v>
      </c>
      <c r="AB1" s="47" t="s">
        <v>59</v>
      </c>
      <c r="AC1" s="47" t="s">
        <v>60</v>
      </c>
      <c r="AD1" s="47" t="s">
        <v>37</v>
      </c>
      <c r="AE1" s="47" t="s">
        <v>61</v>
      </c>
      <c r="AF1" s="47" t="s">
        <v>8</v>
      </c>
      <c r="AG1" s="47" t="s">
        <v>62</v>
      </c>
      <c r="AH1" s="47" t="s">
        <v>63</v>
      </c>
      <c r="AI1" s="47" t="s">
        <v>38</v>
      </c>
      <c r="AJ1" s="47" t="s">
        <v>39</v>
      </c>
      <c r="AK1" s="47" t="s">
        <v>64</v>
      </c>
      <c r="AL1" s="47" t="s">
        <v>9</v>
      </c>
      <c r="AM1" s="47" t="s">
        <v>65</v>
      </c>
      <c r="AN1" s="47" t="s">
        <v>66</v>
      </c>
      <c r="AO1" s="47" t="s">
        <v>67</v>
      </c>
      <c r="AP1" s="47" t="s">
        <v>40</v>
      </c>
      <c r="AQ1" s="47" t="s">
        <v>68</v>
      </c>
      <c r="AR1" s="47" t="s">
        <v>10</v>
      </c>
      <c r="AS1" s="47" t="s">
        <v>69</v>
      </c>
      <c r="AT1" s="47" t="s">
        <v>70</v>
      </c>
      <c r="AU1" s="47" t="s">
        <v>41</v>
      </c>
      <c r="AV1" s="46"/>
      <c r="AW1" s="46" t="s">
        <v>71</v>
      </c>
      <c r="AX1" s="46" t="s">
        <v>72</v>
      </c>
      <c r="AY1" s="46" t="s">
        <v>73</v>
      </c>
      <c r="AZ1" s="46" t="s">
        <v>74</v>
      </c>
      <c r="BA1" s="46" t="s">
        <v>75</v>
      </c>
    </row>
    <row r="2" spans="1:53" x14ac:dyDescent="0.3">
      <c r="A2" s="1">
        <v>525700</v>
      </c>
      <c r="B2" s="1">
        <v>12000</v>
      </c>
      <c r="C2" s="1">
        <v>579900</v>
      </c>
      <c r="D2" s="1">
        <v>0.90456066208839581</v>
      </c>
      <c r="E2" s="1"/>
      <c r="F2" s="1">
        <v>1789900</v>
      </c>
      <c r="G2" s="1">
        <v>100000</v>
      </c>
      <c r="H2" s="1">
        <v>1789900</v>
      </c>
      <c r="I2" s="1">
        <v>1</v>
      </c>
      <c r="J2" s="1"/>
      <c r="K2" s="1">
        <v>355800</v>
      </c>
      <c r="L2" s="1">
        <v>19600</v>
      </c>
      <c r="M2" s="1">
        <v>468100</v>
      </c>
      <c r="N2" s="1">
        <v>0.74960981047937569</v>
      </c>
      <c r="O2" s="1"/>
      <c r="P2" s="1">
        <v>84000</v>
      </c>
      <c r="Q2" s="1">
        <v>0</v>
      </c>
      <c r="R2" s="1">
        <v>151900</v>
      </c>
      <c r="S2" s="1">
        <v>0.55299539170506917</v>
      </c>
      <c r="T2" s="1">
        <v>0.44700460829493083</v>
      </c>
      <c r="U2" s="1"/>
      <c r="V2" s="1">
        <v>591100</v>
      </c>
      <c r="W2" s="1">
        <v>15600</v>
      </c>
      <c r="X2" s="1">
        <v>659300</v>
      </c>
      <c r="Y2" s="1">
        <v>0.89405002330278083</v>
      </c>
      <c r="Z2" s="1"/>
      <c r="AA2" s="1">
        <v>2.4E-2</v>
      </c>
      <c r="AB2" s="1">
        <v>-9.1999999999999998E-2</v>
      </c>
      <c r="AC2" s="1">
        <v>8.8999999999999996E-2</v>
      </c>
      <c r="AD2" s="1">
        <v>0.64088397790055252</v>
      </c>
      <c r="AE2" s="1"/>
      <c r="AF2" s="1">
        <v>1.7000000000000001E-2</v>
      </c>
      <c r="AG2" s="1">
        <v>-1.2E-2</v>
      </c>
      <c r="AH2" s="1">
        <v>9.6000000000000002E-2</v>
      </c>
      <c r="AI2" s="1">
        <v>0.26851851851851849</v>
      </c>
      <c r="AJ2" s="1">
        <v>0.7314814814814814</v>
      </c>
      <c r="AK2" s="1"/>
      <c r="AL2" s="1">
        <v>245.30077198866351</v>
      </c>
      <c r="AM2" s="1">
        <v>164.12043561896019</v>
      </c>
      <c r="AN2" s="1">
        <v>840.98425196850394</v>
      </c>
      <c r="AO2" s="1">
        <v>0.11993599659016251</v>
      </c>
      <c r="AP2" s="1">
        <v>0.88006400340983748</v>
      </c>
      <c r="AQ2" s="1"/>
      <c r="AR2" s="1">
        <v>828.26</v>
      </c>
      <c r="AS2" s="1">
        <v>582.9</v>
      </c>
      <c r="AT2" s="1">
        <v>1212.48</v>
      </c>
      <c r="AU2" s="1">
        <v>0.38972013088090468</v>
      </c>
      <c r="AW2" s="1">
        <v>0.88250691404677506</v>
      </c>
      <c r="AX2" s="1">
        <v>0.67578263519166337</v>
      </c>
      <c r="AY2" s="1">
        <v>0.38972013088090468</v>
      </c>
      <c r="AZ2" s="1">
        <v>0.68618272969101701</v>
      </c>
      <c r="BA2" s="1">
        <v>0.70125984587155643</v>
      </c>
    </row>
    <row r="3" spans="1:53" x14ac:dyDescent="0.3">
      <c r="A3" s="1">
        <v>518600</v>
      </c>
      <c r="B3" s="1">
        <v>12000</v>
      </c>
      <c r="C3" s="1">
        <v>579900</v>
      </c>
      <c r="D3" s="1">
        <v>0.89205846099665431</v>
      </c>
      <c r="E3" s="1"/>
      <c r="F3" s="1">
        <v>1125300</v>
      </c>
      <c r="G3" s="1">
        <v>100000</v>
      </c>
      <c r="H3" s="1">
        <v>1789900</v>
      </c>
      <c r="I3" s="1">
        <v>0.6067222912598379</v>
      </c>
      <c r="J3" s="1"/>
      <c r="K3" s="1">
        <v>420700</v>
      </c>
      <c r="L3" s="1">
        <v>19600</v>
      </c>
      <c r="M3" s="1">
        <v>468100</v>
      </c>
      <c r="N3" s="1">
        <v>0.89431438127090301</v>
      </c>
      <c r="O3" s="1"/>
      <c r="P3" s="1">
        <v>151900</v>
      </c>
      <c r="Q3" s="1">
        <v>0</v>
      </c>
      <c r="R3" s="1">
        <v>151900</v>
      </c>
      <c r="S3" s="1">
        <v>1</v>
      </c>
      <c r="T3" s="1">
        <v>0</v>
      </c>
      <c r="U3" s="1"/>
      <c r="V3" s="1">
        <v>458200</v>
      </c>
      <c r="W3" s="1">
        <v>15600</v>
      </c>
      <c r="X3" s="1">
        <v>659300</v>
      </c>
      <c r="Y3" s="1">
        <v>0.68758738542799436</v>
      </c>
      <c r="Z3" s="1"/>
      <c r="AA3" s="1">
        <v>0.02</v>
      </c>
      <c r="AB3" s="1">
        <v>-9.1999999999999998E-2</v>
      </c>
      <c r="AC3" s="1">
        <v>8.8999999999999996E-2</v>
      </c>
      <c r="AD3" s="1">
        <v>0.61878453038674042</v>
      </c>
      <c r="AE3" s="1"/>
      <c r="AF3" s="1">
        <v>7.0000000000000001E-3</v>
      </c>
      <c r="AG3" s="1">
        <v>-1.2E-2</v>
      </c>
      <c r="AH3" s="1">
        <v>9.6000000000000002E-2</v>
      </c>
      <c r="AI3" s="1">
        <v>0.1759259259259259</v>
      </c>
      <c r="AJ3" s="1">
        <v>0.82407407407407407</v>
      </c>
      <c r="AK3" s="1"/>
      <c r="AL3" s="1">
        <v>184.9668501610679</v>
      </c>
      <c r="AM3" s="1">
        <v>164.12043561896019</v>
      </c>
      <c r="AN3" s="1">
        <v>840.98425196850394</v>
      </c>
      <c r="AO3" s="1">
        <v>3.0798535892399139E-2</v>
      </c>
      <c r="AP3" s="1">
        <v>0.96920146410760089</v>
      </c>
      <c r="AQ3" s="1"/>
      <c r="AR3" s="1">
        <v>620.44000000000005</v>
      </c>
      <c r="AS3" s="1">
        <v>582.9</v>
      </c>
      <c r="AT3" s="1">
        <v>1212.48</v>
      </c>
      <c r="AU3" s="1">
        <v>5.9627052955939001E-2</v>
      </c>
      <c r="AW3" s="1">
        <v>0.72818687697580353</v>
      </c>
      <c r="AX3" s="1">
        <v>0.44602923049832732</v>
      </c>
      <c r="AY3" s="1">
        <v>5.9627052955939001E-2</v>
      </c>
      <c r="AZ3" s="1">
        <v>0.72142930223040724</v>
      </c>
      <c r="BA3" s="1">
        <v>0.48161185358084008</v>
      </c>
    </row>
    <row r="4" spans="1:53" x14ac:dyDescent="0.3">
      <c r="A4" s="1">
        <v>541100</v>
      </c>
      <c r="B4" s="1">
        <v>12000</v>
      </c>
      <c r="C4" s="1">
        <v>579900</v>
      </c>
      <c r="D4" s="1">
        <v>0.93167811234372244</v>
      </c>
      <c r="E4" s="1"/>
      <c r="F4" s="1">
        <v>1389000</v>
      </c>
      <c r="G4" s="1">
        <v>100000</v>
      </c>
      <c r="H4" s="1">
        <v>1789900</v>
      </c>
      <c r="I4" s="1">
        <v>0.76276702763477133</v>
      </c>
      <c r="J4" s="1"/>
      <c r="K4" s="1">
        <v>464600</v>
      </c>
      <c r="L4" s="1">
        <v>19600</v>
      </c>
      <c r="M4" s="1">
        <v>468100</v>
      </c>
      <c r="N4" s="1">
        <v>0.99219620958751398</v>
      </c>
      <c r="O4" s="1"/>
      <c r="P4" s="1">
        <v>100700</v>
      </c>
      <c r="Q4" s="1">
        <v>0</v>
      </c>
      <c r="R4" s="1">
        <v>151900</v>
      </c>
      <c r="S4" s="1">
        <v>0.66293614219881503</v>
      </c>
      <c r="T4" s="1">
        <v>0.33706385780118497</v>
      </c>
      <c r="U4" s="1"/>
      <c r="V4" s="1">
        <v>546300</v>
      </c>
      <c r="W4" s="1">
        <v>15600</v>
      </c>
      <c r="X4" s="1">
        <v>659300</v>
      </c>
      <c r="Y4" s="1">
        <v>0.82445238465123505</v>
      </c>
      <c r="Z4" s="1"/>
      <c r="AA4" s="1">
        <v>-0.03</v>
      </c>
      <c r="AB4" s="1">
        <v>-9.1999999999999998E-2</v>
      </c>
      <c r="AC4" s="1">
        <v>8.8999999999999996E-2</v>
      </c>
      <c r="AD4" s="1">
        <v>0.34254143646408841</v>
      </c>
      <c r="AE4" s="1"/>
      <c r="AF4" s="1">
        <v>-3.0000000000000001E-3</v>
      </c>
      <c r="AG4" s="1">
        <v>-1.2E-2</v>
      </c>
      <c r="AH4" s="1">
        <v>9.6000000000000002E-2</v>
      </c>
      <c r="AI4" s="1">
        <v>8.3333333333333343E-2</v>
      </c>
      <c r="AJ4" s="1">
        <v>0.91666666666666663</v>
      </c>
      <c r="AK4" s="1"/>
      <c r="AL4" s="1">
        <v>164.12043561896019</v>
      </c>
      <c r="AM4" s="1">
        <v>164.12043561896019</v>
      </c>
      <c r="AN4" s="1">
        <v>840.98425196850394</v>
      </c>
      <c r="AO4" s="1">
        <v>0</v>
      </c>
      <c r="AP4" s="1">
        <v>1</v>
      </c>
      <c r="AQ4" s="1"/>
      <c r="AR4" s="1">
        <v>675.41</v>
      </c>
      <c r="AS4" s="1">
        <v>582.9</v>
      </c>
      <c r="AT4" s="1">
        <v>1212.48</v>
      </c>
      <c r="AU4" s="1">
        <v>0.14693922932748821</v>
      </c>
      <c r="AW4" s="1">
        <v>0.85873322351404346</v>
      </c>
      <c r="AX4" s="1">
        <v>0.63437098507245382</v>
      </c>
      <c r="AY4" s="1">
        <v>0.14693922932748821</v>
      </c>
      <c r="AZ4" s="1">
        <v>0.62960405156537758</v>
      </c>
      <c r="BA4" s="1">
        <v>0.62662952930009652</v>
      </c>
    </row>
    <row r="5" spans="1:53" x14ac:dyDescent="0.3">
      <c r="A5" s="1">
        <v>579900</v>
      </c>
      <c r="B5" s="1">
        <v>12000</v>
      </c>
      <c r="C5" s="1">
        <v>579900</v>
      </c>
      <c r="D5" s="1">
        <v>1</v>
      </c>
      <c r="E5" s="1"/>
      <c r="F5" s="1">
        <v>1493000</v>
      </c>
      <c r="G5" s="1">
        <v>100000</v>
      </c>
      <c r="H5" s="1">
        <v>1789900</v>
      </c>
      <c r="I5" s="1">
        <v>0.82430913071779399</v>
      </c>
      <c r="J5" s="1"/>
      <c r="K5" s="1">
        <v>468100</v>
      </c>
      <c r="L5" s="1">
        <v>19600</v>
      </c>
      <c r="M5" s="1">
        <v>468100</v>
      </c>
      <c r="N5" s="1">
        <v>1</v>
      </c>
      <c r="O5" s="1"/>
      <c r="P5" s="1">
        <v>85600</v>
      </c>
      <c r="Q5" s="1">
        <v>0</v>
      </c>
      <c r="R5" s="1">
        <v>151900</v>
      </c>
      <c r="S5" s="1">
        <v>0.56352863726135616</v>
      </c>
      <c r="T5" s="1">
        <v>0.43647136273864379</v>
      </c>
      <c r="U5" s="1"/>
      <c r="V5" s="1">
        <v>659300</v>
      </c>
      <c r="W5" s="1">
        <v>15600</v>
      </c>
      <c r="X5" s="1">
        <v>659300</v>
      </c>
      <c r="Y5" s="1">
        <v>1</v>
      </c>
      <c r="Z5" s="1"/>
      <c r="AA5" s="1">
        <v>5.0999999999999997E-2</v>
      </c>
      <c r="AB5" s="1">
        <v>-9.1999999999999998E-2</v>
      </c>
      <c r="AC5" s="1">
        <v>8.8999999999999996E-2</v>
      </c>
      <c r="AD5" s="1">
        <v>0.79005524861878451</v>
      </c>
      <c r="AE5" s="1"/>
      <c r="AF5" s="1">
        <v>3.1E-2</v>
      </c>
      <c r="AG5" s="1">
        <v>-1.2E-2</v>
      </c>
      <c r="AH5" s="1">
        <v>9.6000000000000002E-2</v>
      </c>
      <c r="AI5" s="1">
        <v>0.39814814814814808</v>
      </c>
      <c r="AJ5" s="1">
        <v>0.60185185185185186</v>
      </c>
      <c r="AK5" s="1"/>
      <c r="AL5" s="1">
        <v>253.75594594594571</v>
      </c>
      <c r="AM5" s="1">
        <v>164.12043561896019</v>
      </c>
      <c r="AN5" s="1">
        <v>840.98425196850394</v>
      </c>
      <c r="AO5" s="1">
        <v>0.132427688054603</v>
      </c>
      <c r="AP5" s="1">
        <v>0.86757231194539697</v>
      </c>
      <c r="AQ5" s="1"/>
      <c r="AR5" s="1">
        <v>661.64</v>
      </c>
      <c r="AS5" s="1">
        <v>582.9</v>
      </c>
      <c r="AT5" s="1">
        <v>1212.48</v>
      </c>
      <c r="AU5" s="1">
        <v>0.12506750532100769</v>
      </c>
      <c r="AW5" s="1">
        <v>0.94022625847925767</v>
      </c>
      <c r="AX5" s="1">
        <v>0.71823568136932203</v>
      </c>
      <c r="AY5" s="1">
        <v>0.12506750532100769</v>
      </c>
      <c r="AZ5" s="1">
        <v>0.69595355023531824</v>
      </c>
      <c r="BA5" s="1">
        <v>0.68839827700363343</v>
      </c>
    </row>
    <row r="6" spans="1:53" x14ac:dyDescent="0.3">
      <c r="A6" s="1">
        <v>363200</v>
      </c>
      <c r="B6" s="1">
        <v>12000</v>
      </c>
      <c r="C6" s="1">
        <v>579900</v>
      </c>
      <c r="D6" s="1">
        <v>0.61841873569290373</v>
      </c>
      <c r="E6" s="1"/>
      <c r="F6" s="1">
        <v>665800</v>
      </c>
      <c r="G6" s="1">
        <v>100000</v>
      </c>
      <c r="H6" s="1">
        <v>1789900</v>
      </c>
      <c r="I6" s="1">
        <v>0.3348127108112906</v>
      </c>
      <c r="J6" s="1"/>
      <c r="K6" s="1">
        <v>316500</v>
      </c>
      <c r="L6" s="1">
        <v>19600</v>
      </c>
      <c r="M6" s="1">
        <v>468100</v>
      </c>
      <c r="N6" s="1">
        <v>0.66198439241917506</v>
      </c>
      <c r="O6" s="1"/>
      <c r="P6" s="1">
        <v>97800</v>
      </c>
      <c r="Q6" s="1">
        <v>0</v>
      </c>
      <c r="R6" s="1">
        <v>151900</v>
      </c>
      <c r="S6" s="1">
        <v>0.64384463462804475</v>
      </c>
      <c r="T6" s="1">
        <v>0.35615536537195519</v>
      </c>
      <c r="U6" s="1"/>
      <c r="V6" s="1">
        <v>414100</v>
      </c>
      <c r="W6" s="1">
        <v>15600</v>
      </c>
      <c r="X6" s="1">
        <v>659300</v>
      </c>
      <c r="Y6" s="1">
        <v>0.61907720988037906</v>
      </c>
      <c r="Z6" s="1"/>
      <c r="AA6" s="1">
        <v>5.5E-2</v>
      </c>
      <c r="AB6" s="1">
        <v>-9.1999999999999998E-2</v>
      </c>
      <c r="AC6" s="1">
        <v>8.8999999999999996E-2</v>
      </c>
      <c r="AD6" s="1">
        <v>0.81215469613259672</v>
      </c>
      <c r="AE6" s="1"/>
      <c r="AF6" s="1">
        <v>8.4000000000000005E-2</v>
      </c>
      <c r="AG6" s="1">
        <v>-1.2E-2</v>
      </c>
      <c r="AH6" s="1">
        <v>9.6000000000000002E-2</v>
      </c>
      <c r="AI6" s="1">
        <v>0.88888888888888895</v>
      </c>
      <c r="AJ6" s="1">
        <v>0.11111111111111099</v>
      </c>
      <c r="AK6" s="1"/>
      <c r="AL6" s="1">
        <v>341.36704191616792</v>
      </c>
      <c r="AM6" s="1">
        <v>164.12043561896019</v>
      </c>
      <c r="AN6" s="1">
        <v>840.98425196850394</v>
      </c>
      <c r="AO6" s="1">
        <v>0.2618645021581042</v>
      </c>
      <c r="AP6" s="1">
        <v>0.7381354978418958</v>
      </c>
      <c r="AQ6" s="1"/>
      <c r="AR6" s="1">
        <v>638.66</v>
      </c>
      <c r="AS6" s="1">
        <v>582.9</v>
      </c>
      <c r="AT6" s="1">
        <v>1212.48</v>
      </c>
      <c r="AU6" s="1">
        <v>8.856698116204452E-2</v>
      </c>
      <c r="AW6" s="1">
        <v>0.53650129832411009</v>
      </c>
      <c r="AX6" s="1">
        <v>0.48728705053242949</v>
      </c>
      <c r="AY6" s="1">
        <v>8.856698116204452E-2</v>
      </c>
      <c r="AZ6" s="1">
        <v>0.461632903621854</v>
      </c>
      <c r="BA6" s="1">
        <v>0.42722873577502479</v>
      </c>
    </row>
    <row r="7" spans="1:53" x14ac:dyDescent="0.3">
      <c r="A7" s="1">
        <v>402300</v>
      </c>
      <c r="B7" s="1">
        <v>12000</v>
      </c>
      <c r="C7" s="1">
        <v>579900</v>
      </c>
      <c r="D7" s="1">
        <v>0.68726888536714215</v>
      </c>
      <c r="E7" s="1"/>
      <c r="F7" s="1">
        <v>854000</v>
      </c>
      <c r="G7" s="1">
        <v>100000</v>
      </c>
      <c r="H7" s="1">
        <v>1789900</v>
      </c>
      <c r="I7" s="1">
        <v>0.44618024735191431</v>
      </c>
      <c r="J7" s="1"/>
      <c r="K7" s="1">
        <v>332400</v>
      </c>
      <c r="L7" s="1">
        <v>19600</v>
      </c>
      <c r="M7" s="1">
        <v>468100</v>
      </c>
      <c r="N7" s="1">
        <v>0.6974358974358974</v>
      </c>
      <c r="O7" s="1"/>
      <c r="P7" s="1">
        <v>108600</v>
      </c>
      <c r="Q7" s="1">
        <v>0</v>
      </c>
      <c r="R7" s="1">
        <v>151900</v>
      </c>
      <c r="S7" s="1">
        <v>0.71494404213298224</v>
      </c>
      <c r="T7" s="1">
        <v>0.28505595786701782</v>
      </c>
      <c r="U7" s="1"/>
      <c r="V7" s="1">
        <v>407400</v>
      </c>
      <c r="W7" s="1">
        <v>15600</v>
      </c>
      <c r="X7" s="1">
        <v>659300</v>
      </c>
      <c r="Y7" s="1">
        <v>0.60866863445704522</v>
      </c>
      <c r="Z7" s="1"/>
      <c r="AA7" s="1">
        <v>2.8000000000000001E-2</v>
      </c>
      <c r="AB7" s="1">
        <v>-9.1999999999999998E-2</v>
      </c>
      <c r="AC7" s="1">
        <v>8.8999999999999996E-2</v>
      </c>
      <c r="AD7" s="1">
        <v>0.66298342541436461</v>
      </c>
      <c r="AE7" s="1"/>
      <c r="AF7" s="1">
        <v>3.5000000000000003E-2</v>
      </c>
      <c r="AG7" s="1">
        <v>-1.2E-2</v>
      </c>
      <c r="AH7" s="1">
        <v>9.6000000000000002E-2</v>
      </c>
      <c r="AI7" s="1">
        <v>0.43518518518518517</v>
      </c>
      <c r="AJ7" s="1">
        <v>0.56481481481481488</v>
      </c>
      <c r="AK7" s="1"/>
      <c r="AL7" s="1">
        <v>561.969357311321</v>
      </c>
      <c r="AM7" s="1">
        <v>164.12043561896019</v>
      </c>
      <c r="AN7" s="1">
        <v>840.98425196850394</v>
      </c>
      <c r="AO7" s="1">
        <v>0.58778281846714198</v>
      </c>
      <c r="AP7" s="1">
        <v>0.41221718153285802</v>
      </c>
      <c r="AQ7" s="1"/>
      <c r="AR7" s="1">
        <v>582.9</v>
      </c>
      <c r="AS7" s="1">
        <v>582.9</v>
      </c>
      <c r="AT7" s="1">
        <v>1212.48</v>
      </c>
      <c r="AU7" s="1">
        <v>0</v>
      </c>
      <c r="AW7" s="1">
        <v>0.58263330416284809</v>
      </c>
      <c r="AX7" s="1">
        <v>0.48616242161708001</v>
      </c>
      <c r="AY7" s="1">
        <v>0</v>
      </c>
      <c r="AZ7" s="1">
        <v>0.6138991201145898</v>
      </c>
      <c r="BA7" s="1">
        <v>0.42751829031197131</v>
      </c>
    </row>
    <row r="8" spans="1:53" x14ac:dyDescent="0.3">
      <c r="A8" s="1">
        <v>460000</v>
      </c>
      <c r="B8" s="1">
        <v>12000</v>
      </c>
      <c r="C8" s="1">
        <v>579900</v>
      </c>
      <c r="D8" s="1">
        <v>0.78887128015495689</v>
      </c>
      <c r="E8" s="1"/>
      <c r="F8" s="1">
        <v>1289900</v>
      </c>
      <c r="G8" s="1">
        <v>100000</v>
      </c>
      <c r="H8" s="1">
        <v>1789900</v>
      </c>
      <c r="I8" s="1">
        <v>0.7041245044085449</v>
      </c>
      <c r="J8" s="1"/>
      <c r="K8" s="1">
        <v>415500</v>
      </c>
      <c r="L8" s="1">
        <v>19600</v>
      </c>
      <c r="M8" s="1">
        <v>468100</v>
      </c>
      <c r="N8" s="1">
        <v>0.88272017837235228</v>
      </c>
      <c r="O8" s="1"/>
      <c r="P8" s="1">
        <v>92800</v>
      </c>
      <c r="Q8" s="1">
        <v>0</v>
      </c>
      <c r="R8" s="1">
        <v>151900</v>
      </c>
      <c r="S8" s="1">
        <v>0.61092824226464781</v>
      </c>
      <c r="T8" s="1">
        <v>0.38907175773535219</v>
      </c>
      <c r="U8" s="1"/>
      <c r="V8" s="1">
        <v>468300</v>
      </c>
      <c r="W8" s="1">
        <v>15600</v>
      </c>
      <c r="X8" s="1">
        <v>659300</v>
      </c>
      <c r="Y8" s="1">
        <v>0.70327792449899018</v>
      </c>
      <c r="Z8" s="1"/>
      <c r="AA8" s="1">
        <v>3.2000000000000001E-2</v>
      </c>
      <c r="AB8" s="1">
        <v>-9.1999999999999998E-2</v>
      </c>
      <c r="AC8" s="1">
        <v>8.8999999999999996E-2</v>
      </c>
      <c r="AD8" s="1">
        <v>0.68508287292817682</v>
      </c>
      <c r="AE8" s="1"/>
      <c r="AF8" s="1">
        <v>2.8000000000000001E-2</v>
      </c>
      <c r="AG8" s="1">
        <v>-1.2E-2</v>
      </c>
      <c r="AH8" s="1">
        <v>9.6000000000000002E-2</v>
      </c>
      <c r="AI8" s="1">
        <v>0.37037037037037041</v>
      </c>
      <c r="AJ8" s="1">
        <v>0.62962962962962954</v>
      </c>
      <c r="AK8" s="1"/>
      <c r="AL8" s="1">
        <v>630.10107572115385</v>
      </c>
      <c r="AM8" s="1">
        <v>164.12043561896019</v>
      </c>
      <c r="AN8" s="1">
        <v>840.98425196850394</v>
      </c>
      <c r="AO8" s="1">
        <v>0.68844075993796883</v>
      </c>
      <c r="AP8" s="1">
        <v>0.31155924006203117</v>
      </c>
      <c r="AQ8" s="1"/>
      <c r="AR8" s="1">
        <v>705.35</v>
      </c>
      <c r="AS8" s="1">
        <v>582.9</v>
      </c>
      <c r="AT8" s="1">
        <v>1212.48</v>
      </c>
      <c r="AU8" s="1">
        <v>0.19449474252676391</v>
      </c>
      <c r="AW8" s="1">
        <v>0.76268779499802042</v>
      </c>
      <c r="AX8" s="1">
        <v>0.58897151894515465</v>
      </c>
      <c r="AY8" s="1">
        <v>0.19449474252676391</v>
      </c>
      <c r="AZ8" s="1">
        <v>0.65735625127890329</v>
      </c>
      <c r="BA8" s="1">
        <v>0.57956267408262285</v>
      </c>
    </row>
    <row r="9" spans="1:53" x14ac:dyDescent="0.3">
      <c r="A9" s="1">
        <v>54400</v>
      </c>
      <c r="B9" s="1">
        <v>12000</v>
      </c>
      <c r="C9" s="1">
        <v>579900</v>
      </c>
      <c r="D9" s="1">
        <v>7.466103187180842E-2</v>
      </c>
      <c r="E9" s="1"/>
      <c r="F9" s="1">
        <v>100300</v>
      </c>
      <c r="G9" s="1">
        <v>100000</v>
      </c>
      <c r="H9" s="1">
        <v>1789900</v>
      </c>
      <c r="I9" s="1">
        <v>1.7752529735487311E-4</v>
      </c>
      <c r="J9" s="1"/>
      <c r="K9" s="1">
        <v>64900.000000000007</v>
      </c>
      <c r="L9" s="1">
        <v>19600</v>
      </c>
      <c r="M9" s="1">
        <v>468100</v>
      </c>
      <c r="N9" s="1">
        <v>0.1010033444816054</v>
      </c>
      <c r="O9" s="1"/>
      <c r="P9" s="1">
        <v>700</v>
      </c>
      <c r="Q9" s="1">
        <v>0</v>
      </c>
      <c r="R9" s="1">
        <v>151900</v>
      </c>
      <c r="S9" s="1">
        <v>4.608294930875576E-3</v>
      </c>
      <c r="T9" s="1">
        <v>0.99539170506912444</v>
      </c>
      <c r="U9" s="1"/>
      <c r="V9" s="1">
        <v>22500</v>
      </c>
      <c r="W9" s="1">
        <v>15600</v>
      </c>
      <c r="X9" s="1">
        <v>659300</v>
      </c>
      <c r="Y9" s="1">
        <v>1.071927916731397E-2</v>
      </c>
      <c r="Z9" s="1"/>
      <c r="AA9" s="1">
        <v>2.9000000000000001E-2</v>
      </c>
      <c r="AB9" s="1">
        <v>-9.1999999999999998E-2</v>
      </c>
      <c r="AC9" s="1">
        <v>8.8999999999999996E-2</v>
      </c>
      <c r="AD9" s="1">
        <v>0.66850828729281764</v>
      </c>
      <c r="AE9" s="1"/>
      <c r="AF9" s="1">
        <v>0.01</v>
      </c>
      <c r="AG9" s="1">
        <v>-1.2E-2</v>
      </c>
      <c r="AH9" s="1">
        <v>9.6000000000000002E-2</v>
      </c>
      <c r="AI9" s="1">
        <v>0.20370370370370369</v>
      </c>
      <c r="AJ9" s="1">
        <v>0.79629629629629628</v>
      </c>
      <c r="AK9" s="1"/>
      <c r="AL9" s="1">
        <v>309.5344827586207</v>
      </c>
      <c r="AM9" s="1">
        <v>164.12043561896019</v>
      </c>
      <c r="AN9" s="1">
        <v>840.98425196850394</v>
      </c>
      <c r="AO9" s="1">
        <v>0.21483501352444331</v>
      </c>
      <c r="AP9" s="1">
        <v>0.78516498647555677</v>
      </c>
      <c r="AQ9" s="1"/>
      <c r="AR9" s="1">
        <v>886.88</v>
      </c>
      <c r="AS9" s="1">
        <v>582.9</v>
      </c>
      <c r="AT9" s="1">
        <v>1212.48</v>
      </c>
      <c r="AU9" s="1">
        <v>0.48282982305664091</v>
      </c>
      <c r="AW9" s="1">
        <v>3.6879149566339711E-2</v>
      </c>
      <c r="AX9" s="1">
        <v>0.53502636847046636</v>
      </c>
      <c r="AY9" s="1">
        <v>0.48282982305664091</v>
      </c>
      <c r="AZ9" s="1">
        <v>0.73240229179455696</v>
      </c>
      <c r="BA9" s="1">
        <v>0.32532817182605073</v>
      </c>
    </row>
    <row r="10" spans="1:53" x14ac:dyDescent="0.3">
      <c r="A10" s="1">
        <v>71600</v>
      </c>
      <c r="B10" s="1">
        <v>12000</v>
      </c>
      <c r="C10" s="1">
        <v>579900</v>
      </c>
      <c r="D10" s="1">
        <v>0.1049480542349005</v>
      </c>
      <c r="E10" s="1"/>
      <c r="F10" s="1">
        <v>140500</v>
      </c>
      <c r="G10" s="1">
        <v>100000</v>
      </c>
      <c r="H10" s="1">
        <v>1789900</v>
      </c>
      <c r="I10" s="1">
        <v>2.396591514290786E-2</v>
      </c>
      <c r="J10" s="1"/>
      <c r="K10" s="1">
        <v>80200</v>
      </c>
      <c r="L10" s="1">
        <v>19600</v>
      </c>
      <c r="M10" s="1">
        <v>468100</v>
      </c>
      <c r="N10" s="1">
        <v>0.1351170568561873</v>
      </c>
      <c r="O10" s="1"/>
      <c r="P10" s="1">
        <v>2300</v>
      </c>
      <c r="Q10" s="1">
        <v>0</v>
      </c>
      <c r="R10" s="1">
        <v>151900</v>
      </c>
      <c r="S10" s="1">
        <v>1.5141540487162611E-2</v>
      </c>
      <c r="T10" s="1">
        <v>0.98485845951283735</v>
      </c>
      <c r="U10" s="1"/>
      <c r="V10" s="1">
        <v>24700</v>
      </c>
      <c r="W10" s="1">
        <v>15600</v>
      </c>
      <c r="X10" s="1">
        <v>659300</v>
      </c>
      <c r="Y10" s="1">
        <v>1.4137020351095229E-2</v>
      </c>
      <c r="Z10" s="1"/>
      <c r="AA10" s="1">
        <v>2.7E-2</v>
      </c>
      <c r="AB10" s="1">
        <v>-9.1999999999999998E-2</v>
      </c>
      <c r="AC10" s="1">
        <v>8.8999999999999996E-2</v>
      </c>
      <c r="AD10" s="1">
        <v>0.65745856353591159</v>
      </c>
      <c r="AE10" s="1"/>
      <c r="AF10" s="1">
        <v>3.0000000000000001E-3</v>
      </c>
      <c r="AG10" s="1">
        <v>-1.2E-2</v>
      </c>
      <c r="AH10" s="1">
        <v>9.6000000000000002E-2</v>
      </c>
      <c r="AI10" s="1">
        <v>0.1388888888888889</v>
      </c>
      <c r="AJ10" s="1">
        <v>0.86111111111111116</v>
      </c>
      <c r="AK10" s="1"/>
      <c r="AL10" s="1">
        <v>270.42567567567568</v>
      </c>
      <c r="AM10" s="1">
        <v>164.12043561896019</v>
      </c>
      <c r="AN10" s="1">
        <v>840.98425196850394</v>
      </c>
      <c r="AO10" s="1">
        <v>0.15705558118033261</v>
      </c>
      <c r="AP10" s="1">
        <v>0.84294441881966742</v>
      </c>
      <c r="AQ10" s="1"/>
      <c r="AR10" s="1">
        <v>703.53</v>
      </c>
      <c r="AS10" s="1">
        <v>582.9</v>
      </c>
      <c r="AT10" s="1">
        <v>1212.48</v>
      </c>
      <c r="AU10" s="1">
        <v>0.19160392642714191</v>
      </c>
      <c r="AW10" s="1">
        <v>5.7340989176791118E-2</v>
      </c>
      <c r="AX10" s="1">
        <v>0.54490325687386887</v>
      </c>
      <c r="AY10" s="1">
        <v>0.19160392642714191</v>
      </c>
      <c r="AZ10" s="1">
        <v>0.75928483732351149</v>
      </c>
      <c r="BA10" s="1">
        <v>0.27921848370569241</v>
      </c>
    </row>
    <row r="11" spans="1:53" x14ac:dyDescent="0.3">
      <c r="A11" s="1">
        <v>61800</v>
      </c>
      <c r="B11" s="1">
        <v>12000</v>
      </c>
      <c r="C11" s="1">
        <v>579900</v>
      </c>
      <c r="D11" s="1">
        <v>8.7691494981510826E-2</v>
      </c>
      <c r="E11" s="1"/>
      <c r="F11" s="1">
        <v>100000</v>
      </c>
      <c r="G11" s="1">
        <v>100000</v>
      </c>
      <c r="H11" s="1">
        <v>1789900</v>
      </c>
      <c r="I11" s="1">
        <v>0</v>
      </c>
      <c r="J11" s="1"/>
      <c r="K11" s="1">
        <v>76100</v>
      </c>
      <c r="L11" s="1">
        <v>19600</v>
      </c>
      <c r="M11" s="1">
        <v>468100</v>
      </c>
      <c r="N11" s="1">
        <v>0.12597547380156079</v>
      </c>
      <c r="O11" s="1"/>
      <c r="P11" s="1">
        <v>400</v>
      </c>
      <c r="Q11" s="1">
        <v>0</v>
      </c>
      <c r="R11" s="1">
        <v>151900</v>
      </c>
      <c r="S11" s="1">
        <v>2.633311389071758E-3</v>
      </c>
      <c r="T11" s="1">
        <v>0.99736668861092825</v>
      </c>
      <c r="U11" s="1"/>
      <c r="V11" s="1">
        <v>15600</v>
      </c>
      <c r="W11" s="1">
        <v>15600</v>
      </c>
      <c r="X11" s="1">
        <v>659300</v>
      </c>
      <c r="Y11" s="1">
        <v>0</v>
      </c>
      <c r="Z11" s="1"/>
      <c r="AA11" s="1">
        <v>-8.2000000000000003E-2</v>
      </c>
      <c r="AB11" s="1">
        <v>-9.1999999999999998E-2</v>
      </c>
      <c r="AC11" s="1">
        <v>8.8999999999999996E-2</v>
      </c>
      <c r="AD11" s="1">
        <v>5.5248618784530357E-2</v>
      </c>
      <c r="AE11" s="1"/>
      <c r="AF11" s="1">
        <v>0</v>
      </c>
      <c r="AG11" s="1">
        <v>-1.2E-2</v>
      </c>
      <c r="AH11" s="1">
        <v>9.6000000000000002E-2</v>
      </c>
      <c r="AI11" s="1">
        <v>0.1111111111111111</v>
      </c>
      <c r="AJ11" s="1">
        <v>0.88888888888888884</v>
      </c>
      <c r="AK11" s="1"/>
      <c r="AL11" s="1">
        <v>239.93975903614461</v>
      </c>
      <c r="AM11" s="1">
        <v>164.12043561896019</v>
      </c>
      <c r="AN11" s="1">
        <v>840.98425196850394</v>
      </c>
      <c r="AO11" s="1">
        <v>0.1120156249836083</v>
      </c>
      <c r="AP11" s="1">
        <v>0.88798437501639171</v>
      </c>
      <c r="AQ11" s="1"/>
      <c r="AR11" s="1">
        <v>710.88</v>
      </c>
      <c r="AS11" s="1">
        <v>582.9</v>
      </c>
      <c r="AT11" s="1">
        <v>1212.48</v>
      </c>
      <c r="AU11" s="1">
        <v>0.20327837606023061</v>
      </c>
      <c r="AW11" s="1">
        <v>4.150584614097453E-2</v>
      </c>
      <c r="AX11" s="1">
        <v>0.54252909179621944</v>
      </c>
      <c r="AY11" s="1">
        <v>0.20327837606023061</v>
      </c>
      <c r="AZ11" s="1">
        <v>0.4720687538367096</v>
      </c>
      <c r="BA11" s="1">
        <v>0.27426965038692369</v>
      </c>
    </row>
    <row r="12" spans="1:53" x14ac:dyDescent="0.3">
      <c r="A12" s="1">
        <v>59300</v>
      </c>
      <c r="B12" s="1">
        <v>12000</v>
      </c>
      <c r="C12" s="1">
        <v>579900</v>
      </c>
      <c r="D12" s="1">
        <v>8.3289311498503257E-2</v>
      </c>
      <c r="E12" s="1"/>
      <c r="F12" s="1">
        <v>206200</v>
      </c>
      <c r="G12" s="1">
        <v>100000</v>
      </c>
      <c r="H12" s="1">
        <v>1789900</v>
      </c>
      <c r="I12" s="1">
        <v>6.2843955263625073E-2</v>
      </c>
      <c r="J12" s="1"/>
      <c r="K12" s="1">
        <v>72700</v>
      </c>
      <c r="L12" s="1">
        <v>19600</v>
      </c>
      <c r="M12" s="1">
        <v>468100</v>
      </c>
      <c r="N12" s="1">
        <v>0.1183946488294314</v>
      </c>
      <c r="O12" s="1"/>
      <c r="P12" s="1">
        <v>0</v>
      </c>
      <c r="Q12" s="1">
        <v>0</v>
      </c>
      <c r="R12" s="1">
        <v>151900</v>
      </c>
      <c r="S12" s="1">
        <v>0</v>
      </c>
      <c r="T12" s="1">
        <v>1</v>
      </c>
      <c r="U12" s="1"/>
      <c r="V12" s="1">
        <v>25500</v>
      </c>
      <c r="W12" s="1">
        <v>15600</v>
      </c>
      <c r="X12" s="1">
        <v>659300</v>
      </c>
      <c r="Y12" s="1">
        <v>1.537983532701569E-2</v>
      </c>
      <c r="Z12" s="1"/>
      <c r="AA12" s="1">
        <v>5.6000000000000001E-2</v>
      </c>
      <c r="AB12" s="1">
        <v>-9.1999999999999998E-2</v>
      </c>
      <c r="AC12" s="1">
        <v>8.8999999999999996E-2</v>
      </c>
      <c r="AD12" s="1">
        <v>0.81767955801104975</v>
      </c>
      <c r="AE12" s="1"/>
      <c r="AF12" s="1">
        <v>1.2999999999999999E-2</v>
      </c>
      <c r="AG12" s="1">
        <v>-1.2E-2</v>
      </c>
      <c r="AH12" s="1">
        <v>9.6000000000000002E-2</v>
      </c>
      <c r="AI12" s="1">
        <v>0.23148148148148151</v>
      </c>
      <c r="AJ12" s="1">
        <v>0.76851851851851849</v>
      </c>
      <c r="AK12" s="1"/>
      <c r="AL12" s="1">
        <v>294.60318015267171</v>
      </c>
      <c r="AM12" s="1">
        <v>164.12043561896019</v>
      </c>
      <c r="AN12" s="1">
        <v>840.98425196850394</v>
      </c>
      <c r="AO12" s="1">
        <v>0.1927754762212433</v>
      </c>
      <c r="AP12" s="1">
        <v>0.80722452377875675</v>
      </c>
      <c r="AQ12" s="1"/>
      <c r="AR12" s="1">
        <v>734.05</v>
      </c>
      <c r="AS12" s="1">
        <v>582.9</v>
      </c>
      <c r="AT12" s="1">
        <v>1212.48</v>
      </c>
      <c r="AU12" s="1">
        <v>0.24008068871311031</v>
      </c>
      <c r="AW12" s="1">
        <v>6.5468999186196808E-2</v>
      </c>
      <c r="AX12" s="1">
        <v>0.54164465574925158</v>
      </c>
      <c r="AY12" s="1">
        <v>0.24008068871311031</v>
      </c>
      <c r="AZ12" s="1">
        <v>0.79309903826478423</v>
      </c>
      <c r="BA12" s="1">
        <v>0.29086159971680142</v>
      </c>
    </row>
    <row r="13" spans="1:53" x14ac:dyDescent="0.3">
      <c r="A13" s="1">
        <v>39100</v>
      </c>
      <c r="B13" s="1">
        <v>12000</v>
      </c>
      <c r="C13" s="1">
        <v>579900</v>
      </c>
      <c r="D13" s="1">
        <v>4.7719668955802083E-2</v>
      </c>
      <c r="E13" s="1"/>
      <c r="F13" s="1">
        <v>126000</v>
      </c>
      <c r="G13" s="1">
        <v>100000</v>
      </c>
      <c r="H13" s="1">
        <v>1789900</v>
      </c>
      <c r="I13" s="1">
        <v>1.538552577075567E-2</v>
      </c>
      <c r="J13" s="1"/>
      <c r="K13" s="1">
        <v>59000</v>
      </c>
      <c r="L13" s="1">
        <v>19600</v>
      </c>
      <c r="M13" s="1">
        <v>468100</v>
      </c>
      <c r="N13" s="1">
        <v>8.7848383500557417E-2</v>
      </c>
      <c r="O13" s="1"/>
      <c r="P13" s="1">
        <v>2300</v>
      </c>
      <c r="Q13" s="1">
        <v>0</v>
      </c>
      <c r="R13" s="1">
        <v>151900</v>
      </c>
      <c r="S13" s="1">
        <v>1.5141540487162611E-2</v>
      </c>
      <c r="T13" s="1">
        <v>0.98485845951283735</v>
      </c>
      <c r="U13" s="1"/>
      <c r="V13" s="1">
        <v>16900</v>
      </c>
      <c r="W13" s="1">
        <v>15600</v>
      </c>
      <c r="X13" s="1">
        <v>659300</v>
      </c>
      <c r="Y13" s="1">
        <v>2.0195743358707471E-3</v>
      </c>
      <c r="Z13" s="1"/>
      <c r="AA13" s="1">
        <v>7.0000000000000007E-2</v>
      </c>
      <c r="AB13" s="1">
        <v>-9.1999999999999998E-2</v>
      </c>
      <c r="AC13" s="1">
        <v>8.8999999999999996E-2</v>
      </c>
      <c r="AD13" s="1">
        <v>0.89502762430939231</v>
      </c>
      <c r="AE13" s="1"/>
      <c r="AF13" s="1">
        <v>7.8E-2</v>
      </c>
      <c r="AG13" s="1">
        <v>-1.2E-2</v>
      </c>
      <c r="AH13" s="1">
        <v>9.6000000000000002E-2</v>
      </c>
      <c r="AI13" s="1">
        <v>0.83333333333333326</v>
      </c>
      <c r="AJ13" s="1">
        <v>0.16666666666666671</v>
      </c>
      <c r="AK13" s="1"/>
      <c r="AL13" s="1">
        <v>336.48511875000003</v>
      </c>
      <c r="AM13" s="1">
        <v>164.12043561896019</v>
      </c>
      <c r="AN13" s="1">
        <v>840.98425196850394</v>
      </c>
      <c r="AO13" s="1">
        <v>0.25465193879122622</v>
      </c>
      <c r="AP13" s="1">
        <v>0.74534806120877373</v>
      </c>
      <c r="AQ13" s="1"/>
      <c r="AR13" s="1">
        <v>795.25</v>
      </c>
      <c r="AS13" s="1">
        <v>582.9</v>
      </c>
      <c r="AT13" s="1">
        <v>1212.48</v>
      </c>
      <c r="AU13" s="1">
        <v>0.33728835096413479</v>
      </c>
      <c r="AW13" s="1">
        <v>3.4845452389389027E-2</v>
      </c>
      <c r="AX13" s="1">
        <v>0.51628906423431964</v>
      </c>
      <c r="AY13" s="1">
        <v>0.33728835096413479</v>
      </c>
      <c r="AZ13" s="1">
        <v>0.53084714548802969</v>
      </c>
      <c r="BA13" s="1">
        <v>0.28791147684231039</v>
      </c>
    </row>
    <row r="14" spans="1:53" x14ac:dyDescent="0.3">
      <c r="A14" s="1">
        <v>60900</v>
      </c>
      <c r="B14" s="1">
        <v>12000</v>
      </c>
      <c r="C14" s="1">
        <v>579900</v>
      </c>
      <c r="D14" s="1">
        <v>8.6106708927628103E-2</v>
      </c>
      <c r="E14" s="1"/>
      <c r="F14" s="1">
        <v>160900</v>
      </c>
      <c r="G14" s="1">
        <v>100000</v>
      </c>
      <c r="H14" s="1">
        <v>1789900</v>
      </c>
      <c r="I14" s="1">
        <v>3.6037635363039243E-2</v>
      </c>
      <c r="J14" s="1"/>
      <c r="K14" s="1">
        <v>55100</v>
      </c>
      <c r="L14" s="1">
        <v>19600</v>
      </c>
      <c r="M14" s="1">
        <v>468100</v>
      </c>
      <c r="N14" s="1">
        <v>7.9152731326644368E-2</v>
      </c>
      <c r="O14" s="1"/>
      <c r="P14" s="1">
        <v>11500</v>
      </c>
      <c r="Q14" s="1">
        <v>0</v>
      </c>
      <c r="R14" s="1">
        <v>151900</v>
      </c>
      <c r="S14" s="1">
        <v>7.570770243581304E-2</v>
      </c>
      <c r="T14" s="1">
        <v>0.92429229756418696</v>
      </c>
      <c r="U14" s="1"/>
      <c r="V14" s="1">
        <v>19700</v>
      </c>
      <c r="W14" s="1">
        <v>15600</v>
      </c>
      <c r="X14" s="1">
        <v>659300</v>
      </c>
      <c r="Y14" s="1">
        <v>6.369426751592357E-3</v>
      </c>
      <c r="Z14" s="1"/>
      <c r="AA14" s="1">
        <v>2.5999999999999999E-2</v>
      </c>
      <c r="AB14" s="1">
        <v>-9.1999999999999998E-2</v>
      </c>
      <c r="AC14" s="1">
        <v>8.8999999999999996E-2</v>
      </c>
      <c r="AD14" s="1">
        <v>0.65193370165745856</v>
      </c>
      <c r="AE14" s="1"/>
      <c r="AF14" s="1">
        <v>4.2999999999999997E-2</v>
      </c>
      <c r="AG14" s="1">
        <v>-1.2E-2</v>
      </c>
      <c r="AH14" s="1">
        <v>9.6000000000000002E-2</v>
      </c>
      <c r="AI14" s="1">
        <v>0.50925925925925919</v>
      </c>
      <c r="AJ14" s="1">
        <v>0.49074074074074081</v>
      </c>
      <c r="AK14" s="1"/>
      <c r="AL14" s="1">
        <v>589.73076794871793</v>
      </c>
      <c r="AM14" s="1">
        <v>164.12043561896019</v>
      </c>
      <c r="AN14" s="1">
        <v>840.98425196850394</v>
      </c>
      <c r="AO14" s="1">
        <v>0.62879758387020268</v>
      </c>
      <c r="AP14" s="1">
        <v>0.37120241612979732</v>
      </c>
      <c r="AQ14" s="1"/>
      <c r="AR14" s="1">
        <v>721.1</v>
      </c>
      <c r="AS14" s="1">
        <v>582.9</v>
      </c>
      <c r="AT14" s="1">
        <v>1212.48</v>
      </c>
      <c r="AU14" s="1">
        <v>0.21951142031195409</v>
      </c>
      <c r="AW14" s="1">
        <v>4.0443501151241387E-2</v>
      </c>
      <c r="AX14" s="1">
        <v>0.50519950324590746</v>
      </c>
      <c r="AY14" s="1">
        <v>0.21951142031195409</v>
      </c>
      <c r="AZ14" s="1">
        <v>0.57133722119909969</v>
      </c>
      <c r="BA14" s="1">
        <v>0.26215948582125043</v>
      </c>
    </row>
    <row r="15" spans="1:53" x14ac:dyDescent="0.3">
      <c r="A15" s="1">
        <v>72400</v>
      </c>
      <c r="B15" s="1">
        <v>12000</v>
      </c>
      <c r="C15" s="1">
        <v>579900</v>
      </c>
      <c r="D15" s="1">
        <v>0.1063567529494629</v>
      </c>
      <c r="E15" s="1"/>
      <c r="F15" s="1">
        <v>195000</v>
      </c>
      <c r="G15" s="1">
        <v>100000</v>
      </c>
      <c r="H15" s="1">
        <v>1789900</v>
      </c>
      <c r="I15" s="1">
        <v>5.6216344162376468E-2</v>
      </c>
      <c r="J15" s="1"/>
      <c r="K15" s="1">
        <v>60000</v>
      </c>
      <c r="L15" s="1">
        <v>19600</v>
      </c>
      <c r="M15" s="1">
        <v>468100</v>
      </c>
      <c r="N15" s="1">
        <v>9.0078037904124858E-2</v>
      </c>
      <c r="O15" s="1"/>
      <c r="P15" s="1">
        <v>13700</v>
      </c>
      <c r="Q15" s="1">
        <v>0</v>
      </c>
      <c r="R15" s="1">
        <v>151900</v>
      </c>
      <c r="S15" s="1">
        <v>9.01909150757077E-2</v>
      </c>
      <c r="T15" s="1">
        <v>0.90980908492429236</v>
      </c>
      <c r="U15" s="1"/>
      <c r="V15" s="1">
        <v>21000</v>
      </c>
      <c r="W15" s="1">
        <v>15600</v>
      </c>
      <c r="X15" s="1">
        <v>659300</v>
      </c>
      <c r="Y15" s="1">
        <v>8.3890010874631046E-3</v>
      </c>
      <c r="Z15" s="1"/>
      <c r="AA15" s="1">
        <v>1.9E-2</v>
      </c>
      <c r="AB15" s="1">
        <v>-9.1999999999999998E-2</v>
      </c>
      <c r="AC15" s="1">
        <v>8.8999999999999996E-2</v>
      </c>
      <c r="AD15" s="1">
        <v>0.61325966850828728</v>
      </c>
      <c r="AE15" s="1"/>
      <c r="AF15" s="1">
        <v>2.4E-2</v>
      </c>
      <c r="AG15" s="1">
        <v>-1.2E-2</v>
      </c>
      <c r="AH15" s="1">
        <v>9.6000000000000002E-2</v>
      </c>
      <c r="AI15" s="1">
        <v>0.33333333333333343</v>
      </c>
      <c r="AJ15" s="1">
        <v>0.66666666666666663</v>
      </c>
      <c r="AK15" s="1"/>
      <c r="AL15" s="1">
        <v>840.98425196850394</v>
      </c>
      <c r="AM15" s="1">
        <v>164.12043561896019</v>
      </c>
      <c r="AN15" s="1">
        <v>840.98425196850394</v>
      </c>
      <c r="AO15" s="1">
        <v>1</v>
      </c>
      <c r="AP15" s="1">
        <v>0</v>
      </c>
      <c r="AQ15" s="1"/>
      <c r="AR15" s="1">
        <v>774.13</v>
      </c>
      <c r="AS15" s="1">
        <v>582.9</v>
      </c>
      <c r="AT15" s="1">
        <v>1212.48</v>
      </c>
      <c r="AU15" s="1">
        <v>0.3037421773245656</v>
      </c>
      <c r="AW15" s="1">
        <v>5.1575417830484492E-2</v>
      </c>
      <c r="AX15" s="1">
        <v>0.50808291893687763</v>
      </c>
      <c r="AY15" s="1">
        <v>0.3037421773245656</v>
      </c>
      <c r="AZ15" s="1">
        <v>0.63996316758747707</v>
      </c>
      <c r="BA15" s="1">
        <v>0.28461177017185801</v>
      </c>
    </row>
    <row r="16" spans="1:53" x14ac:dyDescent="0.3">
      <c r="A16" s="1">
        <v>12000</v>
      </c>
      <c r="B16" s="1">
        <v>12000</v>
      </c>
      <c r="C16" s="1">
        <v>579900</v>
      </c>
      <c r="D16" s="1">
        <v>0</v>
      </c>
      <c r="E16" s="1"/>
      <c r="F16" s="1">
        <v>185000</v>
      </c>
      <c r="G16" s="1">
        <v>100000</v>
      </c>
      <c r="H16" s="1">
        <v>1789900</v>
      </c>
      <c r="I16" s="1">
        <v>5.0298834250547368E-2</v>
      </c>
      <c r="J16" s="1"/>
      <c r="K16" s="1">
        <v>20200</v>
      </c>
      <c r="L16" s="1">
        <v>19600</v>
      </c>
      <c r="M16" s="1">
        <v>468100</v>
      </c>
      <c r="N16" s="1">
        <v>1.3377926421404679E-3</v>
      </c>
      <c r="O16" s="1"/>
      <c r="P16" s="1">
        <v>0</v>
      </c>
      <c r="Q16" s="1">
        <v>0</v>
      </c>
      <c r="R16" s="1">
        <v>151900</v>
      </c>
      <c r="S16" s="1">
        <v>0</v>
      </c>
      <c r="T16" s="1">
        <v>1</v>
      </c>
      <c r="U16" s="1"/>
      <c r="V16" s="1">
        <v>199000</v>
      </c>
      <c r="W16" s="1">
        <v>15600</v>
      </c>
      <c r="X16" s="1">
        <v>659300</v>
      </c>
      <c r="Y16" s="1">
        <v>0.28491533322976542</v>
      </c>
      <c r="Z16" s="1"/>
      <c r="AA16" s="1">
        <v>2.1000000000000001E-2</v>
      </c>
      <c r="AB16" s="1">
        <v>-9.1999999999999998E-2</v>
      </c>
      <c r="AC16" s="1">
        <v>8.8999999999999996E-2</v>
      </c>
      <c r="AD16" s="1">
        <v>0.62430939226519344</v>
      </c>
      <c r="AE16" s="1"/>
      <c r="AF16" s="1">
        <v>6.0000000000000001E-3</v>
      </c>
      <c r="AG16" s="1">
        <v>-1.2E-2</v>
      </c>
      <c r="AH16" s="1">
        <v>9.6000000000000002E-2</v>
      </c>
      <c r="AI16" s="1">
        <v>0.16666666666666671</v>
      </c>
      <c r="AJ16" s="1">
        <v>0.83333333333333326</v>
      </c>
      <c r="AK16" s="1"/>
      <c r="AL16" s="1">
        <v>269.25496932515341</v>
      </c>
      <c r="AM16" s="1">
        <v>164.12043561896019</v>
      </c>
      <c r="AN16" s="1">
        <v>840.98425196850394</v>
      </c>
      <c r="AO16" s="1">
        <v>0.15532597720055991</v>
      </c>
      <c r="AP16" s="1">
        <v>0.84467402279944004</v>
      </c>
      <c r="AQ16" s="1"/>
      <c r="AR16" s="1">
        <v>913.35</v>
      </c>
      <c r="AS16" s="1">
        <v>582.9</v>
      </c>
      <c r="AT16" s="1">
        <v>1212.48</v>
      </c>
      <c r="AU16" s="1">
        <v>0.52487372534070331</v>
      </c>
      <c r="AW16" s="1">
        <v>0.1116619656018778</v>
      </c>
      <c r="AX16" s="1">
        <v>0.49999999999999989</v>
      </c>
      <c r="AY16" s="1">
        <v>0.52487372534070331</v>
      </c>
      <c r="AZ16" s="1">
        <v>0.72882136279926346</v>
      </c>
      <c r="BA16" s="1">
        <v>0.3496395313088918</v>
      </c>
    </row>
    <row r="17" spans="1:53" x14ac:dyDescent="0.3">
      <c r="A17" s="1">
        <v>114300</v>
      </c>
      <c r="B17" s="1">
        <v>12000</v>
      </c>
      <c r="C17" s="1">
        <v>579900</v>
      </c>
      <c r="D17" s="1">
        <v>0.1801373481246698</v>
      </c>
      <c r="E17" s="1"/>
      <c r="F17" s="1">
        <v>275000</v>
      </c>
      <c r="G17" s="1">
        <v>100000</v>
      </c>
      <c r="H17" s="1">
        <v>1789900</v>
      </c>
      <c r="I17" s="1">
        <v>0.1035564234570093</v>
      </c>
      <c r="J17" s="1"/>
      <c r="K17" s="1">
        <v>20800</v>
      </c>
      <c r="L17" s="1">
        <v>19600</v>
      </c>
      <c r="M17" s="1">
        <v>468100</v>
      </c>
      <c r="N17" s="1">
        <v>2.6755852842809359E-3</v>
      </c>
      <c r="O17" s="1"/>
      <c r="P17" s="1">
        <v>0</v>
      </c>
      <c r="Q17" s="1">
        <v>0</v>
      </c>
      <c r="R17" s="1">
        <v>151900</v>
      </c>
      <c r="S17" s="1">
        <v>0</v>
      </c>
      <c r="T17" s="1">
        <v>1</v>
      </c>
      <c r="U17" s="1"/>
      <c r="V17" s="1">
        <v>222000</v>
      </c>
      <c r="W17" s="1">
        <v>15600</v>
      </c>
      <c r="X17" s="1">
        <v>659300</v>
      </c>
      <c r="Y17" s="1">
        <v>0.32064626378747862</v>
      </c>
      <c r="Z17" s="1"/>
      <c r="AA17" s="1">
        <v>2.3E-2</v>
      </c>
      <c r="AB17" s="1">
        <v>-9.1999999999999998E-2</v>
      </c>
      <c r="AC17" s="1">
        <v>8.8999999999999996E-2</v>
      </c>
      <c r="AD17" s="1">
        <v>0.63535911602209938</v>
      </c>
      <c r="AE17" s="1"/>
      <c r="AF17" s="1">
        <v>3.0000000000000001E-3</v>
      </c>
      <c r="AG17" s="1">
        <v>-1.2E-2</v>
      </c>
      <c r="AH17" s="1">
        <v>9.6000000000000002E-2</v>
      </c>
      <c r="AI17" s="1">
        <v>0.1388888888888889</v>
      </c>
      <c r="AJ17" s="1">
        <v>0.86111111111111116</v>
      </c>
      <c r="AK17" s="1"/>
      <c r="AL17" s="1">
        <v>229.40700062695919</v>
      </c>
      <c r="AM17" s="1">
        <v>164.12043561896019</v>
      </c>
      <c r="AN17" s="1">
        <v>840.98425196850394</v>
      </c>
      <c r="AO17" s="1">
        <v>9.6454505959709863E-2</v>
      </c>
      <c r="AP17" s="1">
        <v>0.90354549404029016</v>
      </c>
      <c r="AQ17" s="1"/>
      <c r="AR17" s="1">
        <v>872.43</v>
      </c>
      <c r="AS17" s="1">
        <v>582.9</v>
      </c>
      <c r="AT17" s="1">
        <v>1212.48</v>
      </c>
      <c r="AU17" s="1">
        <v>0.45987801391403788</v>
      </c>
      <c r="AW17" s="1">
        <v>0.14202413520324109</v>
      </c>
      <c r="AX17" s="1">
        <v>0.59006867406233487</v>
      </c>
      <c r="AY17" s="1">
        <v>0.45987801391403788</v>
      </c>
      <c r="AZ17" s="1">
        <v>0.74823511356660533</v>
      </c>
      <c r="BA17" s="1">
        <v>0.38481272648903803</v>
      </c>
    </row>
    <row r="18" spans="1:53" x14ac:dyDescent="0.3">
      <c r="A18" s="1">
        <v>108600</v>
      </c>
      <c r="B18" s="1">
        <v>12000</v>
      </c>
      <c r="C18" s="1">
        <v>579900</v>
      </c>
      <c r="D18" s="1">
        <v>0.17010036978341261</v>
      </c>
      <c r="E18" s="1"/>
      <c r="F18" s="1">
        <v>275000</v>
      </c>
      <c r="G18" s="1">
        <v>100000</v>
      </c>
      <c r="H18" s="1">
        <v>1789900</v>
      </c>
      <c r="I18" s="1">
        <v>0.1035564234570093</v>
      </c>
      <c r="J18" s="1"/>
      <c r="K18" s="1">
        <v>24500</v>
      </c>
      <c r="L18" s="1">
        <v>19600</v>
      </c>
      <c r="M18" s="1">
        <v>468100</v>
      </c>
      <c r="N18" s="1">
        <v>1.092530657748049E-2</v>
      </c>
      <c r="O18" s="1"/>
      <c r="P18" s="1">
        <v>100</v>
      </c>
      <c r="Q18" s="1">
        <v>0</v>
      </c>
      <c r="R18" s="1">
        <v>151900</v>
      </c>
      <c r="S18" s="1">
        <v>6.583278472679394E-4</v>
      </c>
      <c r="T18" s="1">
        <v>0.99934167215273206</v>
      </c>
      <c r="U18" s="1"/>
      <c r="V18" s="1">
        <v>230000</v>
      </c>
      <c r="W18" s="1">
        <v>15600</v>
      </c>
      <c r="X18" s="1">
        <v>659300</v>
      </c>
      <c r="Y18" s="1">
        <v>0.33307441354668321</v>
      </c>
      <c r="Z18" s="1"/>
      <c r="AA18" s="1">
        <v>-9.1999999999999998E-2</v>
      </c>
      <c r="AB18" s="1">
        <v>-9.1999999999999998E-2</v>
      </c>
      <c r="AC18" s="1">
        <v>8.8999999999999996E-2</v>
      </c>
      <c r="AD18" s="1">
        <v>0</v>
      </c>
      <c r="AE18" s="1"/>
      <c r="AF18" s="1">
        <v>-1.2E-2</v>
      </c>
      <c r="AG18" s="1">
        <v>-1.2E-2</v>
      </c>
      <c r="AH18" s="1">
        <v>9.6000000000000002E-2</v>
      </c>
      <c r="AI18" s="1">
        <v>0</v>
      </c>
      <c r="AJ18" s="1">
        <v>1</v>
      </c>
      <c r="AK18" s="1"/>
      <c r="AL18" s="1">
        <v>177.36952520593081</v>
      </c>
      <c r="AM18" s="1">
        <v>164.12043561896019</v>
      </c>
      <c r="AN18" s="1">
        <v>840.98425196850394</v>
      </c>
      <c r="AO18" s="1">
        <v>1.9574232315187869E-2</v>
      </c>
      <c r="AP18" s="1">
        <v>0.98042576768481215</v>
      </c>
      <c r="AQ18" s="1"/>
      <c r="AR18" s="1">
        <v>722.42</v>
      </c>
      <c r="AS18" s="1">
        <v>582.9</v>
      </c>
      <c r="AT18" s="1">
        <v>1212.48</v>
      </c>
      <c r="AU18" s="1">
        <v>0.221608056164427</v>
      </c>
      <c r="AW18" s="1">
        <v>0.14884727586008581</v>
      </c>
      <c r="AX18" s="1">
        <v>0.58472102096807232</v>
      </c>
      <c r="AY18" s="1">
        <v>0.221608056164427</v>
      </c>
      <c r="AZ18" s="1">
        <v>0.5</v>
      </c>
      <c r="BA18" s="1">
        <v>0.33774892996414868</v>
      </c>
    </row>
    <row r="19" spans="1:53" x14ac:dyDescent="0.3">
      <c r="A19" s="1">
        <v>105500</v>
      </c>
      <c r="B19" s="1">
        <v>12000</v>
      </c>
      <c r="C19" s="1">
        <v>579900</v>
      </c>
      <c r="D19" s="1">
        <v>0.16464166226448321</v>
      </c>
      <c r="E19" s="1"/>
      <c r="F19" s="1">
        <v>232000</v>
      </c>
      <c r="G19" s="1">
        <v>100000</v>
      </c>
      <c r="H19" s="1">
        <v>1789900</v>
      </c>
      <c r="I19" s="1">
        <v>7.8111130836144155E-2</v>
      </c>
      <c r="J19" s="1"/>
      <c r="K19" s="1">
        <v>24500</v>
      </c>
      <c r="L19" s="1">
        <v>19600</v>
      </c>
      <c r="M19" s="1">
        <v>468100</v>
      </c>
      <c r="N19" s="1">
        <v>1.092530657748049E-2</v>
      </c>
      <c r="O19" s="1"/>
      <c r="P19" s="1">
        <v>0</v>
      </c>
      <c r="Q19" s="1">
        <v>0</v>
      </c>
      <c r="R19" s="1">
        <v>151900</v>
      </c>
      <c r="S19" s="1">
        <v>0</v>
      </c>
      <c r="T19" s="1">
        <v>1</v>
      </c>
      <c r="U19" s="1"/>
      <c r="V19" s="1">
        <v>175000</v>
      </c>
      <c r="W19" s="1">
        <v>15600</v>
      </c>
      <c r="X19" s="1">
        <v>659300</v>
      </c>
      <c r="Y19" s="1">
        <v>0.2476308839521516</v>
      </c>
      <c r="Z19" s="1"/>
      <c r="AA19" s="1">
        <v>8.6999999999999994E-2</v>
      </c>
      <c r="AB19" s="1">
        <v>-9.1999999999999998E-2</v>
      </c>
      <c r="AC19" s="1">
        <v>8.8999999999999996E-2</v>
      </c>
      <c r="AD19" s="1">
        <v>0.98895027624309395</v>
      </c>
      <c r="AE19" s="1"/>
      <c r="AF19" s="1">
        <v>1.2E-2</v>
      </c>
      <c r="AG19" s="1">
        <v>-1.2E-2</v>
      </c>
      <c r="AH19" s="1">
        <v>9.6000000000000002E-2</v>
      </c>
      <c r="AI19" s="1">
        <v>0.22222222222222221</v>
      </c>
      <c r="AJ19" s="1">
        <v>0.77777777777777779</v>
      </c>
      <c r="AK19" s="1"/>
      <c r="AL19" s="1">
        <v>260.57058951219523</v>
      </c>
      <c r="AM19" s="1">
        <v>164.12043561896019</v>
      </c>
      <c r="AN19" s="1">
        <v>840.98425196850394</v>
      </c>
      <c r="AO19" s="1">
        <v>0.1424956565316331</v>
      </c>
      <c r="AP19" s="1">
        <v>0.8575043434683669</v>
      </c>
      <c r="AQ19" s="1"/>
      <c r="AR19" s="1">
        <v>900.71</v>
      </c>
      <c r="AS19" s="1">
        <v>582.9</v>
      </c>
      <c r="AT19" s="1">
        <v>1212.48</v>
      </c>
      <c r="AU19" s="1">
        <v>0.50479684869277941</v>
      </c>
      <c r="AW19" s="1">
        <v>0.1119679717683979</v>
      </c>
      <c r="AX19" s="1">
        <v>0.58232083113224153</v>
      </c>
      <c r="AY19" s="1">
        <v>0.50479684869277941</v>
      </c>
      <c r="AZ19" s="1">
        <v>0.88336402701043593</v>
      </c>
      <c r="BA19" s="1">
        <v>0.37867489089881168</v>
      </c>
    </row>
    <row r="20" spans="1:53" x14ac:dyDescent="0.3">
      <c r="A20" s="1">
        <v>96500</v>
      </c>
      <c r="B20" s="1">
        <v>12000</v>
      </c>
      <c r="C20" s="1">
        <v>579900</v>
      </c>
      <c r="D20" s="1">
        <v>0.1487938017256559</v>
      </c>
      <c r="E20" s="1"/>
      <c r="F20" s="1">
        <v>345000</v>
      </c>
      <c r="G20" s="1">
        <v>100000</v>
      </c>
      <c r="H20" s="1">
        <v>1789900</v>
      </c>
      <c r="I20" s="1">
        <v>0.144978992839813</v>
      </c>
      <c r="J20" s="1"/>
      <c r="K20" s="1">
        <v>23300</v>
      </c>
      <c r="L20" s="1">
        <v>19600</v>
      </c>
      <c r="M20" s="1">
        <v>468100</v>
      </c>
      <c r="N20" s="1">
        <v>8.2497212931995547E-3</v>
      </c>
      <c r="O20" s="1"/>
      <c r="P20" s="1">
        <v>200</v>
      </c>
      <c r="Q20" s="1">
        <v>0</v>
      </c>
      <c r="R20" s="1">
        <v>151900</v>
      </c>
      <c r="S20" s="1">
        <v>1.316655694535879E-3</v>
      </c>
      <c r="T20" s="1">
        <v>0.99868334430546413</v>
      </c>
      <c r="U20" s="1"/>
      <c r="V20" s="1">
        <v>325000</v>
      </c>
      <c r="W20" s="1">
        <v>15600</v>
      </c>
      <c r="X20" s="1">
        <v>659300</v>
      </c>
      <c r="Y20" s="1">
        <v>0.48065869193723793</v>
      </c>
      <c r="Z20" s="1"/>
      <c r="AA20" s="1">
        <v>5.5E-2</v>
      </c>
      <c r="AB20" s="1">
        <v>-9.1999999999999998E-2</v>
      </c>
      <c r="AC20" s="1">
        <v>8.8999999999999996E-2</v>
      </c>
      <c r="AD20" s="1">
        <v>0.81215469613259672</v>
      </c>
      <c r="AE20" s="1"/>
      <c r="AF20" s="1">
        <v>9.6000000000000002E-2</v>
      </c>
      <c r="AG20" s="1">
        <v>-1.2E-2</v>
      </c>
      <c r="AH20" s="1">
        <v>9.6000000000000002E-2</v>
      </c>
      <c r="AI20" s="1">
        <v>1</v>
      </c>
      <c r="AJ20" s="1">
        <v>0</v>
      </c>
      <c r="AK20" s="1"/>
      <c r="AL20" s="1">
        <v>312.26561630218703</v>
      </c>
      <c r="AM20" s="1">
        <v>164.12043561896019</v>
      </c>
      <c r="AN20" s="1">
        <v>840.98425196850394</v>
      </c>
      <c r="AO20" s="1">
        <v>0.21886999586150449</v>
      </c>
      <c r="AP20" s="1">
        <v>0.78113000413849554</v>
      </c>
      <c r="AQ20" s="1"/>
      <c r="AR20" s="1">
        <v>749.6</v>
      </c>
      <c r="AS20" s="1">
        <v>582.9</v>
      </c>
      <c r="AT20" s="1">
        <v>1212.48</v>
      </c>
      <c r="AU20" s="1">
        <v>0.26477969439944088</v>
      </c>
      <c r="AW20" s="1">
        <v>0.21080614008244061</v>
      </c>
      <c r="AX20" s="1">
        <v>0.57373857301555997</v>
      </c>
      <c r="AY20" s="1">
        <v>0.26477969439944088</v>
      </c>
      <c r="AZ20" s="1">
        <v>0.40607734806629853</v>
      </c>
      <c r="BA20" s="1">
        <v>0.36677382411908838</v>
      </c>
    </row>
    <row r="21" spans="1:53" x14ac:dyDescent="0.3">
      <c r="A21" s="1">
        <v>90500</v>
      </c>
      <c r="B21" s="1">
        <v>12000</v>
      </c>
      <c r="C21" s="1">
        <v>579900</v>
      </c>
      <c r="D21" s="1">
        <v>0.13822856136643771</v>
      </c>
      <c r="E21" s="1"/>
      <c r="F21" s="1">
        <v>175000</v>
      </c>
      <c r="G21" s="1">
        <v>100000</v>
      </c>
      <c r="H21" s="1">
        <v>1789900</v>
      </c>
      <c r="I21" s="1">
        <v>4.4381324338718268E-2</v>
      </c>
      <c r="J21" s="1"/>
      <c r="K21" s="1">
        <v>19600</v>
      </c>
      <c r="L21" s="1">
        <v>19600</v>
      </c>
      <c r="M21" s="1">
        <v>468100</v>
      </c>
      <c r="N21" s="1">
        <v>0</v>
      </c>
      <c r="O21" s="1"/>
      <c r="P21" s="1">
        <v>300</v>
      </c>
      <c r="Q21" s="1">
        <v>0</v>
      </c>
      <c r="R21" s="1">
        <v>151900</v>
      </c>
      <c r="S21" s="1">
        <v>1.974983541803818E-3</v>
      </c>
      <c r="T21" s="1">
        <v>0.99802501645819619</v>
      </c>
      <c r="U21" s="1"/>
      <c r="V21" s="1">
        <v>110000</v>
      </c>
      <c r="W21" s="1">
        <v>15600</v>
      </c>
      <c r="X21" s="1">
        <v>659300</v>
      </c>
      <c r="Y21" s="1">
        <v>0.14665216715861429</v>
      </c>
      <c r="Z21" s="1"/>
      <c r="AA21" s="1">
        <v>2.1000000000000001E-2</v>
      </c>
      <c r="AB21" s="1">
        <v>-9.1999999999999998E-2</v>
      </c>
      <c r="AC21" s="1">
        <v>8.8999999999999996E-2</v>
      </c>
      <c r="AD21" s="1">
        <v>0.62430939226519344</v>
      </c>
      <c r="AE21" s="1"/>
      <c r="AF21" s="1">
        <v>3.5000000000000003E-2</v>
      </c>
      <c r="AG21" s="1">
        <v>-1.2E-2</v>
      </c>
      <c r="AH21" s="1">
        <v>9.6000000000000002E-2</v>
      </c>
      <c r="AI21" s="1">
        <v>0.43518518518518517</v>
      </c>
      <c r="AJ21" s="1">
        <v>0.56481481481481488</v>
      </c>
      <c r="AK21" s="1"/>
      <c r="AL21" s="1">
        <v>549.13660973236028</v>
      </c>
      <c r="AM21" s="1">
        <v>164.12043561896019</v>
      </c>
      <c r="AN21" s="1">
        <v>840.98425196850394</v>
      </c>
      <c r="AO21" s="1">
        <v>0.56882369069433503</v>
      </c>
      <c r="AP21" s="1">
        <v>0.43117630930566497</v>
      </c>
      <c r="AQ21" s="1"/>
      <c r="AR21" s="1">
        <v>838.68</v>
      </c>
      <c r="AS21" s="1">
        <v>582.9</v>
      </c>
      <c r="AT21" s="1">
        <v>1212.48</v>
      </c>
      <c r="AU21" s="1">
        <v>0.4062708472314876</v>
      </c>
      <c r="AW21" s="1">
        <v>6.3539155792845692E-2</v>
      </c>
      <c r="AX21" s="1">
        <v>0.56812678891231694</v>
      </c>
      <c r="AY21" s="1">
        <v>0.4062708472314876</v>
      </c>
      <c r="AZ21" s="1">
        <v>0.59456210354000416</v>
      </c>
      <c r="BA21" s="1">
        <v>0.33392054732836263</v>
      </c>
    </row>
    <row r="22" spans="1:53" x14ac:dyDescent="0.3">
      <c r="A22" s="1">
        <v>110000</v>
      </c>
      <c r="B22" s="1">
        <v>12000</v>
      </c>
      <c r="C22" s="1">
        <v>579900</v>
      </c>
      <c r="D22" s="1">
        <v>0.17256559253389681</v>
      </c>
      <c r="E22" s="1"/>
      <c r="F22" s="1">
        <v>250000</v>
      </c>
      <c r="G22" s="1">
        <v>100000</v>
      </c>
      <c r="H22" s="1">
        <v>1789900</v>
      </c>
      <c r="I22" s="1">
        <v>8.8762648677436537E-2</v>
      </c>
      <c r="J22" s="1"/>
      <c r="K22" s="1">
        <v>20000</v>
      </c>
      <c r="L22" s="1">
        <v>19600</v>
      </c>
      <c r="M22" s="1">
        <v>468100</v>
      </c>
      <c r="N22" s="1">
        <v>8.9186176142697885E-4</v>
      </c>
      <c r="O22" s="1"/>
      <c r="P22" s="1">
        <v>0</v>
      </c>
      <c r="Q22" s="1">
        <v>0</v>
      </c>
      <c r="R22" s="1">
        <v>151900</v>
      </c>
      <c r="S22" s="1">
        <v>0</v>
      </c>
      <c r="T22" s="1">
        <v>1</v>
      </c>
      <c r="U22" s="1"/>
      <c r="V22" s="1">
        <v>238500</v>
      </c>
      <c r="W22" s="1">
        <v>15600</v>
      </c>
      <c r="X22" s="1">
        <v>659300</v>
      </c>
      <c r="Y22" s="1">
        <v>0.34627932266583811</v>
      </c>
      <c r="Z22" s="1"/>
      <c r="AA22" s="1">
        <v>2.1000000000000001E-2</v>
      </c>
      <c r="AB22" s="1">
        <v>-9.1999999999999998E-2</v>
      </c>
      <c r="AC22" s="1">
        <v>8.8999999999999996E-2</v>
      </c>
      <c r="AD22" s="1">
        <v>0.62430939226519344</v>
      </c>
      <c r="AE22" s="1"/>
      <c r="AF22" s="1">
        <v>2.7E-2</v>
      </c>
      <c r="AG22" s="1">
        <v>-1.2E-2</v>
      </c>
      <c r="AH22" s="1">
        <v>9.6000000000000002E-2</v>
      </c>
      <c r="AI22" s="1">
        <v>0.3611111111111111</v>
      </c>
      <c r="AJ22" s="1">
        <v>0.63888888888888884</v>
      </c>
      <c r="AK22" s="1"/>
      <c r="AL22" s="1">
        <v>652.32392783783769</v>
      </c>
      <c r="AM22" s="1">
        <v>164.12043561896019</v>
      </c>
      <c r="AN22" s="1">
        <v>840.98425196850394</v>
      </c>
      <c r="AO22" s="1">
        <v>0.72127284754539323</v>
      </c>
      <c r="AP22" s="1">
        <v>0.27872715245460677</v>
      </c>
      <c r="AQ22" s="1"/>
      <c r="AR22" s="1">
        <v>705.26</v>
      </c>
      <c r="AS22" s="1">
        <v>582.9</v>
      </c>
      <c r="AT22" s="1">
        <v>1212.48</v>
      </c>
      <c r="AU22" s="1">
        <v>0.1943517900822771</v>
      </c>
      <c r="AW22" s="1">
        <v>0.1448699709807228</v>
      </c>
      <c r="AX22" s="1">
        <v>0.58628279626694835</v>
      </c>
      <c r="AY22" s="1">
        <v>0.1943517900822771</v>
      </c>
      <c r="AZ22" s="1">
        <v>0.63159914057704114</v>
      </c>
      <c r="BA22" s="1">
        <v>0.3313314649155239</v>
      </c>
    </row>
    <row r="23" spans="1:53" x14ac:dyDescent="0.3">
      <c r="A23" s="1">
        <v>417300</v>
      </c>
      <c r="B23" s="1">
        <v>12000</v>
      </c>
      <c r="C23" s="1">
        <v>579900</v>
      </c>
      <c r="D23" s="1">
        <v>0.71368198626518753</v>
      </c>
      <c r="E23" s="1"/>
      <c r="F23" s="1">
        <v>173600</v>
      </c>
      <c r="G23" s="1">
        <v>100000</v>
      </c>
      <c r="H23" s="1">
        <v>1789900</v>
      </c>
      <c r="I23" s="1">
        <v>4.3552872951062187E-2</v>
      </c>
      <c r="J23" s="1"/>
      <c r="K23" s="1">
        <v>197000</v>
      </c>
      <c r="L23" s="1">
        <v>19600</v>
      </c>
      <c r="M23" s="1">
        <v>468100</v>
      </c>
      <c r="N23" s="1">
        <v>0.39554069119286511</v>
      </c>
      <c r="O23" s="1"/>
      <c r="P23" s="1">
        <v>48600</v>
      </c>
      <c r="Q23" s="1">
        <v>0</v>
      </c>
      <c r="R23" s="1">
        <v>151900</v>
      </c>
      <c r="S23" s="1">
        <v>0.31994733377221862</v>
      </c>
      <c r="T23" s="1">
        <v>0.68005266622778149</v>
      </c>
      <c r="U23" s="1"/>
      <c r="V23" s="1">
        <v>40000</v>
      </c>
      <c r="W23" s="1">
        <v>15600</v>
      </c>
      <c r="X23" s="1">
        <v>659300</v>
      </c>
      <c r="Y23" s="1">
        <v>3.7905856765574023E-2</v>
      </c>
      <c r="Z23" s="1"/>
      <c r="AA23" s="1">
        <v>8.9999999999999993E-3</v>
      </c>
      <c r="AB23" s="1">
        <v>-9.1999999999999998E-2</v>
      </c>
      <c r="AC23" s="1">
        <v>8.8999999999999996E-2</v>
      </c>
      <c r="AD23" s="1">
        <v>0.55801104972375692</v>
      </c>
      <c r="AE23" s="1"/>
      <c r="AF23" s="1">
        <v>1.0999999999999999E-2</v>
      </c>
      <c r="AG23" s="1">
        <v>-1.2E-2</v>
      </c>
      <c r="AH23" s="1">
        <v>9.6000000000000002E-2</v>
      </c>
      <c r="AI23" s="1">
        <v>0.21296296296296299</v>
      </c>
      <c r="AJ23" s="1">
        <v>0.78703703703703698</v>
      </c>
      <c r="AK23" s="1"/>
      <c r="AL23" s="1">
        <v>316.12</v>
      </c>
      <c r="AM23" s="1">
        <v>164.12043561896019</v>
      </c>
      <c r="AN23" s="1">
        <v>840.98425196850394</v>
      </c>
      <c r="AO23" s="1">
        <v>0.2245644702959638</v>
      </c>
      <c r="AP23" s="1">
        <v>0.77543552970403617</v>
      </c>
      <c r="AQ23" s="1"/>
      <c r="AR23" s="1">
        <v>1212.48</v>
      </c>
      <c r="AS23" s="1">
        <v>582.9</v>
      </c>
      <c r="AT23" s="1">
        <v>1212.48</v>
      </c>
      <c r="AU23" s="1">
        <v>1</v>
      </c>
      <c r="AW23" s="1">
        <v>0.15765904626203761</v>
      </c>
      <c r="AX23" s="1">
        <v>0.69686732624648451</v>
      </c>
      <c r="AY23" s="1">
        <v>1</v>
      </c>
      <c r="AZ23" s="1">
        <v>0.67252404338039695</v>
      </c>
      <c r="BA23" s="1">
        <v>0.54181054900340886</v>
      </c>
    </row>
    <row r="24" spans="1:53" x14ac:dyDescent="0.3">
      <c r="A24" s="1">
        <v>407600</v>
      </c>
      <c r="B24" s="1">
        <v>12000</v>
      </c>
      <c r="C24" s="1">
        <v>579900</v>
      </c>
      <c r="D24" s="1">
        <v>0.69660151435111817</v>
      </c>
      <c r="E24" s="1"/>
      <c r="F24" s="1">
        <v>366500</v>
      </c>
      <c r="G24" s="1">
        <v>100000</v>
      </c>
      <c r="H24" s="1">
        <v>1789900</v>
      </c>
      <c r="I24" s="1">
        <v>0.1577016391502456</v>
      </c>
      <c r="J24" s="1"/>
      <c r="K24" s="1">
        <v>80200</v>
      </c>
      <c r="L24" s="1">
        <v>19600</v>
      </c>
      <c r="M24" s="1">
        <v>468100</v>
      </c>
      <c r="N24" s="1">
        <v>0.1351170568561873</v>
      </c>
      <c r="O24" s="1"/>
      <c r="P24" s="1">
        <v>81800</v>
      </c>
      <c r="Q24" s="1">
        <v>0</v>
      </c>
      <c r="R24" s="1">
        <v>151900</v>
      </c>
      <c r="S24" s="1">
        <v>0.53851217906517446</v>
      </c>
      <c r="T24" s="1">
        <v>0.46148782093482549</v>
      </c>
      <c r="U24" s="1"/>
      <c r="V24" s="1">
        <v>60000</v>
      </c>
      <c r="W24" s="1">
        <v>15600</v>
      </c>
      <c r="X24" s="1">
        <v>659300</v>
      </c>
      <c r="Y24" s="1">
        <v>6.8976231163585519E-2</v>
      </c>
      <c r="Z24" s="1"/>
      <c r="AA24" s="1">
        <v>6.0000000000000001E-3</v>
      </c>
      <c r="AB24" s="1">
        <v>-9.1999999999999998E-2</v>
      </c>
      <c r="AC24" s="1">
        <v>8.8999999999999996E-2</v>
      </c>
      <c r="AD24" s="1">
        <v>0.54143646408839785</v>
      </c>
      <c r="AE24" s="1"/>
      <c r="AF24" s="1">
        <v>6.0000000000000001E-3</v>
      </c>
      <c r="AG24" s="1">
        <v>-1.2E-2</v>
      </c>
      <c r="AH24" s="1">
        <v>9.6000000000000002E-2</v>
      </c>
      <c r="AI24" s="1">
        <v>0.16666666666666671</v>
      </c>
      <c r="AJ24" s="1">
        <v>0.83333333333333326</v>
      </c>
      <c r="AK24" s="1"/>
      <c r="AL24" s="1">
        <v>288.07849813863942</v>
      </c>
      <c r="AM24" s="1">
        <v>164.12043561896019</v>
      </c>
      <c r="AN24" s="1">
        <v>840.98425196850394</v>
      </c>
      <c r="AO24" s="1">
        <v>0.1831358975402301</v>
      </c>
      <c r="AP24" s="1">
        <v>0.81686410245976993</v>
      </c>
      <c r="AQ24" s="1"/>
      <c r="AR24" s="1">
        <v>1170.8499999999999</v>
      </c>
      <c r="AS24" s="1">
        <v>582.9</v>
      </c>
      <c r="AT24" s="1">
        <v>1212.48</v>
      </c>
      <c r="AU24" s="1">
        <v>0.933876552622383</v>
      </c>
      <c r="AW24" s="1">
        <v>0.1209542763523147</v>
      </c>
      <c r="AX24" s="1">
        <v>0.57904466764297191</v>
      </c>
      <c r="AY24" s="1">
        <v>0.933876552622383</v>
      </c>
      <c r="AZ24" s="1">
        <v>0.68738489871086561</v>
      </c>
      <c r="BA24" s="1">
        <v>0.46677488812259132</v>
      </c>
    </row>
    <row r="25" spans="1:53" x14ac:dyDescent="0.3">
      <c r="A25" s="1">
        <v>421900</v>
      </c>
      <c r="B25" s="1">
        <v>12000</v>
      </c>
      <c r="C25" s="1">
        <v>579900</v>
      </c>
      <c r="D25" s="1">
        <v>0.72178200387392144</v>
      </c>
      <c r="E25" s="1"/>
      <c r="F25" s="1">
        <v>273500</v>
      </c>
      <c r="G25" s="1">
        <v>100000</v>
      </c>
      <c r="H25" s="1">
        <v>1789900</v>
      </c>
      <c r="I25" s="1">
        <v>0.1026687969702349</v>
      </c>
      <c r="J25" s="1"/>
      <c r="K25" s="1">
        <v>76100</v>
      </c>
      <c r="L25" s="1">
        <v>19600</v>
      </c>
      <c r="M25" s="1">
        <v>468100</v>
      </c>
      <c r="N25" s="1">
        <v>0.12597547380156079</v>
      </c>
      <c r="O25" s="1"/>
      <c r="P25" s="1">
        <v>51200</v>
      </c>
      <c r="Q25" s="1">
        <v>0</v>
      </c>
      <c r="R25" s="1">
        <v>151900</v>
      </c>
      <c r="S25" s="1">
        <v>0.33706385780118497</v>
      </c>
      <c r="T25" s="1">
        <v>0.66293614219881503</v>
      </c>
      <c r="U25" s="1"/>
      <c r="V25" s="1">
        <v>83000</v>
      </c>
      <c r="W25" s="1">
        <v>15600</v>
      </c>
      <c r="X25" s="1">
        <v>659300</v>
      </c>
      <c r="Y25" s="1">
        <v>0.10470716172129869</v>
      </c>
      <c r="Z25" s="1"/>
      <c r="AA25" s="1">
        <v>-8.8999999999999996E-2</v>
      </c>
      <c r="AB25" s="1">
        <v>-9.1999999999999998E-2</v>
      </c>
      <c r="AC25" s="1">
        <v>8.8999999999999996E-2</v>
      </c>
      <c r="AD25" s="1">
        <v>1.6574585635359129E-2</v>
      </c>
      <c r="AE25" s="1"/>
      <c r="AF25" s="1">
        <v>-1E-3</v>
      </c>
      <c r="AG25" s="1">
        <v>-1.2E-2</v>
      </c>
      <c r="AH25" s="1">
        <v>9.6000000000000002E-2</v>
      </c>
      <c r="AI25" s="1">
        <v>0.1018518518518518</v>
      </c>
      <c r="AJ25" s="1">
        <v>0.89814814814814814</v>
      </c>
      <c r="AK25" s="1"/>
      <c r="AL25" s="1">
        <v>226.22652930930951</v>
      </c>
      <c r="AM25" s="1">
        <v>164.12043561896019</v>
      </c>
      <c r="AN25" s="1">
        <v>840.98425196850394</v>
      </c>
      <c r="AO25" s="1">
        <v>9.1755671067334246E-2</v>
      </c>
      <c r="AP25" s="1">
        <v>0.90824432893266571</v>
      </c>
      <c r="AQ25" s="1"/>
      <c r="AR25" s="1">
        <v>981.35</v>
      </c>
      <c r="AS25" s="1">
        <v>582.9</v>
      </c>
      <c r="AT25" s="1">
        <v>1212.48</v>
      </c>
      <c r="AU25" s="1">
        <v>0.63288223895295281</v>
      </c>
      <c r="AW25" s="1">
        <v>0.11102105712252811</v>
      </c>
      <c r="AX25" s="1">
        <v>0.69235907303636823</v>
      </c>
      <c r="AY25" s="1">
        <v>0.63288223895295281</v>
      </c>
      <c r="AZ25" s="1">
        <v>0.45736136689175372</v>
      </c>
      <c r="BA25" s="1">
        <v>0.44792849985414912</v>
      </c>
    </row>
    <row r="26" spans="1:53" x14ac:dyDescent="0.3">
      <c r="A26" s="1">
        <v>457100</v>
      </c>
      <c r="B26" s="1">
        <v>12000</v>
      </c>
      <c r="C26" s="1">
        <v>579900</v>
      </c>
      <c r="D26" s="1">
        <v>0.78376474731466805</v>
      </c>
      <c r="E26" s="1"/>
      <c r="F26" s="1">
        <v>329000</v>
      </c>
      <c r="G26" s="1">
        <v>100000</v>
      </c>
      <c r="H26" s="1">
        <v>1789900</v>
      </c>
      <c r="I26" s="1">
        <v>0.13551097698088641</v>
      </c>
      <c r="J26" s="1"/>
      <c r="K26" s="1">
        <v>72700</v>
      </c>
      <c r="L26" s="1">
        <v>19600</v>
      </c>
      <c r="M26" s="1">
        <v>468100</v>
      </c>
      <c r="N26" s="1">
        <v>0.1183946488294314</v>
      </c>
      <c r="O26" s="1"/>
      <c r="P26" s="1">
        <v>51500</v>
      </c>
      <c r="Q26" s="1">
        <v>0</v>
      </c>
      <c r="R26" s="1">
        <v>151900</v>
      </c>
      <c r="S26" s="1">
        <v>0.33903884134298878</v>
      </c>
      <c r="T26" s="1">
        <v>0.66096115865701122</v>
      </c>
      <c r="U26" s="1"/>
      <c r="V26" s="1">
        <v>62500</v>
      </c>
      <c r="W26" s="1">
        <v>15600</v>
      </c>
      <c r="X26" s="1">
        <v>659300</v>
      </c>
      <c r="Y26" s="1">
        <v>7.286002796333696E-2</v>
      </c>
      <c r="Z26" s="1"/>
      <c r="AA26" s="1">
        <v>8.8999999999999996E-2</v>
      </c>
      <c r="AB26" s="1">
        <v>-9.1999999999999998E-2</v>
      </c>
      <c r="AC26" s="1">
        <v>8.8999999999999996E-2</v>
      </c>
      <c r="AD26" s="1">
        <v>1</v>
      </c>
      <c r="AE26" s="1"/>
      <c r="AF26" s="1">
        <v>1.9E-2</v>
      </c>
      <c r="AG26" s="1">
        <v>-1.2E-2</v>
      </c>
      <c r="AH26" s="1">
        <v>9.6000000000000002E-2</v>
      </c>
      <c r="AI26" s="1">
        <v>0.28703703703703698</v>
      </c>
      <c r="AJ26" s="1">
        <v>0.71296296296296302</v>
      </c>
      <c r="AK26" s="1"/>
      <c r="AL26" s="1">
        <v>305.30891238670688</v>
      </c>
      <c r="AM26" s="1">
        <v>164.12043561896019</v>
      </c>
      <c r="AN26" s="1">
        <v>840.98425196850394</v>
      </c>
      <c r="AO26" s="1">
        <v>0.20859214713116631</v>
      </c>
      <c r="AP26" s="1">
        <v>0.79140785286883375</v>
      </c>
      <c r="AQ26" s="1"/>
      <c r="AR26" s="1">
        <v>990.35</v>
      </c>
      <c r="AS26" s="1">
        <v>582.9</v>
      </c>
      <c r="AT26" s="1">
        <v>1212.48</v>
      </c>
      <c r="AU26" s="1">
        <v>0.64717748340163284</v>
      </c>
      <c r="AW26" s="1">
        <v>0.10917775001812741</v>
      </c>
      <c r="AX26" s="1">
        <v>0.72236295298583975</v>
      </c>
      <c r="AY26" s="1">
        <v>0.64717748340163284</v>
      </c>
      <c r="AZ26" s="1">
        <v>0.85648148148148162</v>
      </c>
      <c r="BA26" s="1">
        <v>0.46205177788191348</v>
      </c>
    </row>
    <row r="27" spans="1:53" x14ac:dyDescent="0.3">
      <c r="A27" s="1">
        <v>433800</v>
      </c>
      <c r="B27" s="1">
        <v>12000</v>
      </c>
      <c r="C27" s="1">
        <v>579900</v>
      </c>
      <c r="D27" s="1">
        <v>0.74273639725303753</v>
      </c>
      <c r="E27" s="1"/>
      <c r="F27" s="1">
        <v>240900</v>
      </c>
      <c r="G27" s="1">
        <v>100000</v>
      </c>
      <c r="H27" s="1">
        <v>1789900</v>
      </c>
      <c r="I27" s="1">
        <v>8.3377714657672047E-2</v>
      </c>
      <c r="J27" s="1"/>
      <c r="K27" s="1">
        <v>59000</v>
      </c>
      <c r="L27" s="1">
        <v>19600</v>
      </c>
      <c r="M27" s="1">
        <v>468100</v>
      </c>
      <c r="N27" s="1">
        <v>8.7848383500557417E-2</v>
      </c>
      <c r="O27" s="1"/>
      <c r="P27" s="1">
        <v>64599.999999999993</v>
      </c>
      <c r="Q27" s="1">
        <v>0</v>
      </c>
      <c r="R27" s="1">
        <v>151900</v>
      </c>
      <c r="S27" s="1">
        <v>0.42527978933508881</v>
      </c>
      <c r="T27" s="1">
        <v>0.57472021066491119</v>
      </c>
      <c r="U27" s="1"/>
      <c r="V27" s="1">
        <v>67300</v>
      </c>
      <c r="W27" s="1">
        <v>15600</v>
      </c>
      <c r="X27" s="1">
        <v>659300</v>
      </c>
      <c r="Y27" s="1">
        <v>8.0316917818859718E-2</v>
      </c>
      <c r="Z27" s="1"/>
      <c r="AA27" s="1">
        <v>4.8000000000000001E-2</v>
      </c>
      <c r="AB27" s="1">
        <v>-9.1999999999999998E-2</v>
      </c>
      <c r="AC27" s="1">
        <v>8.8999999999999996E-2</v>
      </c>
      <c r="AD27" s="1">
        <v>0.77348066298342555</v>
      </c>
      <c r="AE27" s="1"/>
      <c r="AF27" s="1">
        <v>8.2000000000000003E-2</v>
      </c>
      <c r="AG27" s="1">
        <v>-1.2E-2</v>
      </c>
      <c r="AH27" s="1">
        <v>9.6000000000000002E-2</v>
      </c>
      <c r="AI27" s="1">
        <v>0.87037037037037035</v>
      </c>
      <c r="AJ27" s="1">
        <v>0.12962962962962971</v>
      </c>
      <c r="AK27" s="1"/>
      <c r="AL27" s="1">
        <v>362.26008230452669</v>
      </c>
      <c r="AM27" s="1">
        <v>164.12043561896019</v>
      </c>
      <c r="AN27" s="1">
        <v>840.98425196850394</v>
      </c>
      <c r="AO27" s="1">
        <v>0.29273192317203722</v>
      </c>
      <c r="AP27" s="1">
        <v>0.70726807682796278</v>
      </c>
      <c r="AQ27" s="1"/>
      <c r="AR27" s="1">
        <v>818.17</v>
      </c>
      <c r="AS27" s="1">
        <v>582.9</v>
      </c>
      <c r="AT27" s="1">
        <v>1212.48</v>
      </c>
      <c r="AU27" s="1">
        <v>0.37369357349344001</v>
      </c>
      <c r="AW27" s="1">
        <v>8.3839699752236235E-2</v>
      </c>
      <c r="AX27" s="1">
        <v>0.65872830395897441</v>
      </c>
      <c r="AY27" s="1">
        <v>0.37369357349344001</v>
      </c>
      <c r="AZ27" s="1">
        <v>0.45155514630652771</v>
      </c>
      <c r="BA27" s="1">
        <v>0.37176591618317228</v>
      </c>
    </row>
    <row r="28" spans="1:53" x14ac:dyDescent="0.3">
      <c r="A28" s="1">
        <v>411500</v>
      </c>
      <c r="B28" s="1">
        <v>12000</v>
      </c>
      <c r="C28" s="1">
        <v>579900</v>
      </c>
      <c r="D28" s="1">
        <v>0.70346892058460997</v>
      </c>
      <c r="E28" s="1"/>
      <c r="F28" s="1">
        <v>328500</v>
      </c>
      <c r="G28" s="1">
        <v>100000</v>
      </c>
      <c r="H28" s="1">
        <v>1789900</v>
      </c>
      <c r="I28" s="1">
        <v>0.135215101485295</v>
      </c>
      <c r="J28" s="1"/>
      <c r="K28" s="1">
        <v>55100</v>
      </c>
      <c r="L28" s="1">
        <v>19600</v>
      </c>
      <c r="M28" s="1">
        <v>468100</v>
      </c>
      <c r="N28" s="1">
        <v>7.9152731326644368E-2</v>
      </c>
      <c r="O28" s="1"/>
      <c r="P28" s="1">
        <v>68600</v>
      </c>
      <c r="Q28" s="1">
        <v>0</v>
      </c>
      <c r="R28" s="1">
        <v>151900</v>
      </c>
      <c r="S28" s="1">
        <v>0.45161290322580638</v>
      </c>
      <c r="T28" s="1">
        <v>0.54838709677419351</v>
      </c>
      <c r="U28" s="1"/>
      <c r="V28" s="1">
        <v>77400</v>
      </c>
      <c r="W28" s="1">
        <v>15600</v>
      </c>
      <c r="X28" s="1">
        <v>659300</v>
      </c>
      <c r="Y28" s="1">
        <v>9.6007456889855528E-2</v>
      </c>
      <c r="Z28" s="1"/>
      <c r="AA28" s="1">
        <v>0.01</v>
      </c>
      <c r="AB28" s="1">
        <v>-9.1999999999999998E-2</v>
      </c>
      <c r="AC28" s="1">
        <v>8.8999999999999996E-2</v>
      </c>
      <c r="AD28" s="1">
        <v>0.56353591160220995</v>
      </c>
      <c r="AE28" s="1"/>
      <c r="AF28" s="1">
        <v>5.6000000000000001E-2</v>
      </c>
      <c r="AG28" s="1">
        <v>-1.2E-2</v>
      </c>
      <c r="AH28" s="1">
        <v>9.6000000000000002E-2</v>
      </c>
      <c r="AI28" s="1">
        <v>0.62962962962962965</v>
      </c>
      <c r="AJ28" s="1">
        <v>0.37037037037037029</v>
      </c>
      <c r="AK28" s="1"/>
      <c r="AL28" s="1">
        <v>594.58064516129036</v>
      </c>
      <c r="AM28" s="1">
        <v>164.12043561896019</v>
      </c>
      <c r="AN28" s="1">
        <v>840.98425196850394</v>
      </c>
      <c r="AO28" s="1">
        <v>0.63596280247906378</v>
      </c>
      <c r="AP28" s="1">
        <v>0.36403719752093622</v>
      </c>
      <c r="AQ28" s="1"/>
      <c r="AR28" s="1">
        <v>1025.3699999999999</v>
      </c>
      <c r="AS28" s="1">
        <v>582.9</v>
      </c>
      <c r="AT28" s="1">
        <v>1212.48</v>
      </c>
      <c r="AU28" s="1">
        <v>0.7028018679119411</v>
      </c>
      <c r="AW28" s="1">
        <v>0.1037935040267321</v>
      </c>
      <c r="AX28" s="1">
        <v>0.62592800867940168</v>
      </c>
      <c r="AY28" s="1">
        <v>0.7028018679119411</v>
      </c>
      <c r="AZ28" s="1">
        <v>0.4669531409862902</v>
      </c>
      <c r="BA28" s="1">
        <v>0.43244897866484178</v>
      </c>
    </row>
    <row r="29" spans="1:53" x14ac:dyDescent="0.3">
      <c r="A29" s="1">
        <v>395000</v>
      </c>
      <c r="B29" s="1">
        <v>12000</v>
      </c>
      <c r="C29" s="1">
        <v>579900</v>
      </c>
      <c r="D29" s="1">
        <v>0.67441450959675997</v>
      </c>
      <c r="E29" s="1"/>
      <c r="F29" s="1">
        <v>224000</v>
      </c>
      <c r="G29" s="1">
        <v>100000</v>
      </c>
      <c r="H29" s="1">
        <v>1789900</v>
      </c>
      <c r="I29" s="1">
        <v>7.3377122906680872E-2</v>
      </c>
      <c r="J29" s="1"/>
      <c r="K29" s="1">
        <v>60000</v>
      </c>
      <c r="L29" s="1">
        <v>19600</v>
      </c>
      <c r="M29" s="1">
        <v>468100</v>
      </c>
      <c r="N29" s="1">
        <v>9.0078037904124858E-2</v>
      </c>
      <c r="O29" s="1"/>
      <c r="P29" s="1">
        <v>95000</v>
      </c>
      <c r="Q29" s="1">
        <v>0</v>
      </c>
      <c r="R29" s="1">
        <v>151900</v>
      </c>
      <c r="S29" s="1">
        <v>0.62541145490454242</v>
      </c>
      <c r="T29" s="1">
        <v>0.37458854509545758</v>
      </c>
      <c r="U29" s="1"/>
      <c r="V29" s="1">
        <v>61500</v>
      </c>
      <c r="W29" s="1">
        <v>15600</v>
      </c>
      <c r="X29" s="1">
        <v>659300</v>
      </c>
      <c r="Y29" s="1">
        <v>7.1306509243436386E-2</v>
      </c>
      <c r="Z29" s="1"/>
      <c r="AA29" s="1">
        <v>7.0000000000000001E-3</v>
      </c>
      <c r="AB29" s="1">
        <v>-9.1999999999999998E-2</v>
      </c>
      <c r="AC29" s="1">
        <v>8.8999999999999996E-2</v>
      </c>
      <c r="AD29" s="1">
        <v>0.54696132596685088</v>
      </c>
      <c r="AE29" s="1"/>
      <c r="AF29" s="1">
        <v>0.01</v>
      </c>
      <c r="AG29" s="1">
        <v>-1.2E-2</v>
      </c>
      <c r="AH29" s="1">
        <v>9.6000000000000002E-2</v>
      </c>
      <c r="AI29" s="1">
        <v>0.20370370370370369</v>
      </c>
      <c r="AJ29" s="1">
        <v>0.79629629629629628</v>
      </c>
      <c r="AK29" s="1"/>
      <c r="AL29" s="1">
        <v>717.17688679245282</v>
      </c>
      <c r="AM29" s="1">
        <v>164.12043561896019</v>
      </c>
      <c r="AN29" s="1">
        <v>840.98425196850394</v>
      </c>
      <c r="AO29" s="1">
        <v>0.81708674302643636</v>
      </c>
      <c r="AP29" s="1">
        <v>0.18291325697356359</v>
      </c>
      <c r="AQ29" s="1"/>
      <c r="AR29" s="1">
        <v>1148.22</v>
      </c>
      <c r="AS29" s="1">
        <v>582.9</v>
      </c>
      <c r="AT29" s="1">
        <v>1212.48</v>
      </c>
      <c r="AU29" s="1">
        <v>0.89793195463642428</v>
      </c>
      <c r="AW29" s="1">
        <v>7.8195736575853755E-2</v>
      </c>
      <c r="AX29" s="1">
        <v>0.52450152734610878</v>
      </c>
      <c r="AY29" s="1">
        <v>0.89793195463642428</v>
      </c>
      <c r="AZ29" s="1">
        <v>0.67162881113157358</v>
      </c>
      <c r="BA29" s="1">
        <v>0.42066529649606987</v>
      </c>
    </row>
    <row r="32" spans="1:53" x14ac:dyDescent="0.3">
      <c r="A32" t="s">
        <v>76</v>
      </c>
      <c r="B32" t="s">
        <v>77</v>
      </c>
      <c r="D32" t="s">
        <v>78</v>
      </c>
      <c r="E32" t="s">
        <v>77</v>
      </c>
      <c r="H32" t="s">
        <v>79</v>
      </c>
      <c r="I32" t="s">
        <v>77</v>
      </c>
    </row>
    <row r="33" spans="1:9" x14ac:dyDescent="0.3">
      <c r="A33" t="s">
        <v>80</v>
      </c>
      <c r="B33">
        <v>34.020000000000003</v>
      </c>
      <c r="D33" t="s">
        <v>81</v>
      </c>
      <c r="E33">
        <v>50</v>
      </c>
      <c r="H33" t="s">
        <v>82</v>
      </c>
      <c r="I33">
        <v>50</v>
      </c>
    </row>
    <row r="34" spans="1:9" x14ac:dyDescent="0.3">
      <c r="A34" t="s">
        <v>83</v>
      </c>
      <c r="B34">
        <v>32.950000000000003</v>
      </c>
      <c r="D34" t="s">
        <v>84</v>
      </c>
      <c r="E34">
        <v>50</v>
      </c>
      <c r="H34" t="s">
        <v>85</v>
      </c>
      <c r="I34">
        <v>50</v>
      </c>
    </row>
    <row r="35" spans="1:9" x14ac:dyDescent="0.3">
      <c r="A35" t="s">
        <v>86</v>
      </c>
      <c r="B35">
        <v>33.03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showGridLines="0" workbookViewId="0">
      <selection activeCell="L13" sqref="L13"/>
    </sheetView>
  </sheetViews>
  <sheetFormatPr defaultRowHeight="14.4" x14ac:dyDescent="0.3"/>
  <cols>
    <col min="1" max="1" width="15.5546875" bestFit="1" customWidth="1"/>
    <col min="2" max="2" width="10" bestFit="1" customWidth="1"/>
    <col min="3" max="5" width="12" bestFit="1" customWidth="1"/>
    <col min="6" max="6" width="13.77734375" bestFit="1" customWidth="1"/>
    <col min="7" max="7" width="12" bestFit="1" customWidth="1"/>
  </cols>
  <sheetData>
    <row r="1" spans="1:7" x14ac:dyDescent="0.3">
      <c r="A1" s="49" t="s">
        <v>0</v>
      </c>
      <c r="B1" s="48" t="s">
        <v>1</v>
      </c>
      <c r="C1" s="46" t="s">
        <v>71</v>
      </c>
      <c r="D1" s="46" t="s">
        <v>72</v>
      </c>
      <c r="E1" s="46" t="s">
        <v>73</v>
      </c>
      <c r="F1" s="46" t="s">
        <v>74</v>
      </c>
      <c r="G1" s="46" t="s">
        <v>75</v>
      </c>
    </row>
    <row r="2" spans="1:7" x14ac:dyDescent="0.3">
      <c r="A2" t="s">
        <v>11</v>
      </c>
      <c r="B2" t="s">
        <v>12</v>
      </c>
      <c r="C2" s="1">
        <v>0.88250691404677506</v>
      </c>
      <c r="D2" s="1">
        <v>0.67578263519166337</v>
      </c>
      <c r="E2" s="1">
        <v>0.38972013088090468</v>
      </c>
      <c r="F2" s="1">
        <v>0.68618272969101701</v>
      </c>
      <c r="G2" s="1">
        <v>0.70125984587155643</v>
      </c>
    </row>
    <row r="3" spans="1:7" x14ac:dyDescent="0.3">
      <c r="A3" t="s">
        <v>13</v>
      </c>
      <c r="B3" t="s">
        <v>12</v>
      </c>
      <c r="C3" s="1">
        <v>0.72818687697580353</v>
      </c>
      <c r="D3" s="1">
        <v>0.44602923049832732</v>
      </c>
      <c r="E3" s="1">
        <v>5.9627052955939001E-2</v>
      </c>
      <c r="F3" s="1">
        <v>0.72142930223040724</v>
      </c>
      <c r="G3" s="1">
        <v>0.48161185358084008</v>
      </c>
    </row>
    <row r="4" spans="1:7" x14ac:dyDescent="0.3">
      <c r="A4" t="s">
        <v>14</v>
      </c>
      <c r="B4" t="s">
        <v>12</v>
      </c>
      <c r="C4" s="1">
        <v>0.85873322351404346</v>
      </c>
      <c r="D4" s="1">
        <v>0.63437098507245382</v>
      </c>
      <c r="E4" s="1">
        <v>0.14693922932748821</v>
      </c>
      <c r="F4" s="1">
        <v>0.62960405156537758</v>
      </c>
      <c r="G4" s="1">
        <v>0.62662952930009652</v>
      </c>
    </row>
    <row r="5" spans="1:7" x14ac:dyDescent="0.3">
      <c r="A5" t="s">
        <v>15</v>
      </c>
      <c r="B5" t="s">
        <v>12</v>
      </c>
      <c r="C5" s="1">
        <v>0.94022625847925767</v>
      </c>
      <c r="D5" s="1">
        <v>0.71823568136932203</v>
      </c>
      <c r="E5" s="1">
        <v>0.12506750532100769</v>
      </c>
      <c r="F5" s="1">
        <v>0.69595355023531824</v>
      </c>
      <c r="G5" s="1">
        <v>0.68839827700363343</v>
      </c>
    </row>
    <row r="6" spans="1:7" x14ac:dyDescent="0.3">
      <c r="A6" t="s">
        <v>16</v>
      </c>
      <c r="B6" t="s">
        <v>12</v>
      </c>
      <c r="C6" s="1">
        <v>0.53650129832411009</v>
      </c>
      <c r="D6" s="1">
        <v>0.48728705053242949</v>
      </c>
      <c r="E6" s="1">
        <v>8.856698116204452E-2</v>
      </c>
      <c r="F6" s="1">
        <v>0.461632903621854</v>
      </c>
      <c r="G6" s="1">
        <v>0.42722873577502479</v>
      </c>
    </row>
    <row r="7" spans="1:7" x14ac:dyDescent="0.3">
      <c r="A7" t="s">
        <v>17</v>
      </c>
      <c r="B7" t="s">
        <v>12</v>
      </c>
      <c r="C7" s="1">
        <v>0.58263330416284809</v>
      </c>
      <c r="D7" s="1">
        <v>0.48616242161708001</v>
      </c>
      <c r="E7" s="1">
        <v>0</v>
      </c>
      <c r="F7" s="1">
        <v>0.6138991201145898</v>
      </c>
      <c r="G7" s="1">
        <v>0.42751829031197131</v>
      </c>
    </row>
    <row r="8" spans="1:7" x14ac:dyDescent="0.3">
      <c r="A8" t="s">
        <v>18</v>
      </c>
      <c r="B8" t="s">
        <v>12</v>
      </c>
      <c r="C8" s="1">
        <v>0.76268779499802042</v>
      </c>
      <c r="D8" s="1">
        <v>0.58897151894515465</v>
      </c>
      <c r="E8" s="1">
        <v>0.19449474252676391</v>
      </c>
      <c r="F8" s="1">
        <v>0.65735625127890329</v>
      </c>
      <c r="G8" s="1">
        <v>0.57956267408262285</v>
      </c>
    </row>
    <row r="9" spans="1:7" x14ac:dyDescent="0.3">
      <c r="A9" t="s">
        <v>11</v>
      </c>
      <c r="B9" t="s">
        <v>20</v>
      </c>
      <c r="C9" s="1">
        <v>3.6879149566339711E-2</v>
      </c>
      <c r="D9" s="1">
        <v>0.53502636847046636</v>
      </c>
      <c r="E9" s="1">
        <v>0.48282982305664091</v>
      </c>
      <c r="F9" s="1">
        <v>0.73240229179455696</v>
      </c>
      <c r="G9" s="1">
        <v>0.32532817182605073</v>
      </c>
    </row>
    <row r="10" spans="1:7" x14ac:dyDescent="0.3">
      <c r="A10" t="s">
        <v>13</v>
      </c>
      <c r="B10" t="s">
        <v>20</v>
      </c>
      <c r="C10" s="1">
        <v>5.7340989176791118E-2</v>
      </c>
      <c r="D10" s="1">
        <v>0.54490325687386887</v>
      </c>
      <c r="E10" s="1">
        <v>0.19160392642714191</v>
      </c>
      <c r="F10" s="1">
        <v>0.75928483732351149</v>
      </c>
      <c r="G10" s="1">
        <v>0.27921848370569241</v>
      </c>
    </row>
    <row r="11" spans="1:7" x14ac:dyDescent="0.3">
      <c r="A11" t="s">
        <v>14</v>
      </c>
      <c r="B11" t="s">
        <v>20</v>
      </c>
      <c r="C11" s="1">
        <v>4.150584614097453E-2</v>
      </c>
      <c r="D11" s="1">
        <v>0.54252909179621944</v>
      </c>
      <c r="E11" s="1">
        <v>0.20327837606023061</v>
      </c>
      <c r="F11" s="1">
        <v>0.4720687538367096</v>
      </c>
      <c r="G11" s="1">
        <v>0.27426965038692369</v>
      </c>
    </row>
    <row r="12" spans="1:7" x14ac:dyDescent="0.3">
      <c r="A12" t="s">
        <v>15</v>
      </c>
      <c r="B12" t="s">
        <v>20</v>
      </c>
      <c r="C12" s="1">
        <v>6.5468999186196808E-2</v>
      </c>
      <c r="D12" s="1">
        <v>0.54164465574925158</v>
      </c>
      <c r="E12" s="1">
        <v>0.24008068871311031</v>
      </c>
      <c r="F12" s="1">
        <v>0.79309903826478423</v>
      </c>
      <c r="G12" s="1">
        <v>0.29086159971680142</v>
      </c>
    </row>
    <row r="13" spans="1:7" x14ac:dyDescent="0.3">
      <c r="A13" t="s">
        <v>16</v>
      </c>
      <c r="B13" t="s">
        <v>20</v>
      </c>
      <c r="C13" s="1">
        <v>3.4845452389389027E-2</v>
      </c>
      <c r="D13" s="1">
        <v>0.51628906423431964</v>
      </c>
      <c r="E13" s="1">
        <v>0.33728835096413479</v>
      </c>
      <c r="F13" s="1">
        <v>0.53084714548802969</v>
      </c>
      <c r="G13" s="1">
        <v>0.28791147684231039</v>
      </c>
    </row>
    <row r="14" spans="1:7" x14ac:dyDescent="0.3">
      <c r="A14" t="s">
        <v>17</v>
      </c>
      <c r="B14" t="s">
        <v>20</v>
      </c>
      <c r="C14" s="1">
        <v>4.0443501151241387E-2</v>
      </c>
      <c r="D14" s="1">
        <v>0.50519950324590746</v>
      </c>
      <c r="E14" s="1">
        <v>0.21951142031195409</v>
      </c>
      <c r="F14" s="1">
        <v>0.57133722119909969</v>
      </c>
      <c r="G14" s="1">
        <v>0.26215948582125043</v>
      </c>
    </row>
    <row r="15" spans="1:7" x14ac:dyDescent="0.3">
      <c r="A15" t="s">
        <v>18</v>
      </c>
      <c r="B15" t="s">
        <v>20</v>
      </c>
      <c r="C15" s="1">
        <v>5.1575417830484492E-2</v>
      </c>
      <c r="D15" s="1">
        <v>0.50808291893687763</v>
      </c>
      <c r="E15" s="1">
        <v>0.3037421773245656</v>
      </c>
      <c r="F15" s="1">
        <v>0.63996316758747707</v>
      </c>
      <c r="G15" s="1">
        <v>0.28461177017185801</v>
      </c>
    </row>
    <row r="16" spans="1:7" x14ac:dyDescent="0.3">
      <c r="A16" t="s">
        <v>11</v>
      </c>
      <c r="B16" t="s">
        <v>21</v>
      </c>
      <c r="C16" s="1">
        <v>0.1116619656018778</v>
      </c>
      <c r="D16" s="1">
        <v>0.49999999999999989</v>
      </c>
      <c r="E16" s="1">
        <v>0.52487372534070331</v>
      </c>
      <c r="F16" s="1">
        <v>0.72882136279926346</v>
      </c>
      <c r="G16" s="1">
        <v>0.3496395313088918</v>
      </c>
    </row>
    <row r="17" spans="1:7" x14ac:dyDescent="0.3">
      <c r="A17" t="s">
        <v>13</v>
      </c>
      <c r="B17" t="s">
        <v>21</v>
      </c>
      <c r="C17" s="1">
        <v>0.14202413520324109</v>
      </c>
      <c r="D17" s="1">
        <v>0.59006867406233487</v>
      </c>
      <c r="E17" s="1">
        <v>0.45987801391403788</v>
      </c>
      <c r="F17" s="1">
        <v>0.74823511356660533</v>
      </c>
      <c r="G17" s="1">
        <v>0.38481272648903803</v>
      </c>
    </row>
    <row r="18" spans="1:7" x14ac:dyDescent="0.3">
      <c r="A18" t="s">
        <v>14</v>
      </c>
      <c r="B18" t="s">
        <v>21</v>
      </c>
      <c r="C18" s="1">
        <v>0.14884727586008581</v>
      </c>
      <c r="D18" s="1">
        <v>0.58472102096807232</v>
      </c>
      <c r="E18" s="1">
        <v>0.221608056164427</v>
      </c>
      <c r="F18" s="1">
        <v>0.5</v>
      </c>
      <c r="G18" s="1">
        <v>0.33774892996414868</v>
      </c>
    </row>
    <row r="19" spans="1:7" x14ac:dyDescent="0.3">
      <c r="A19" t="s">
        <v>15</v>
      </c>
      <c r="B19" t="s">
        <v>21</v>
      </c>
      <c r="C19" s="1">
        <v>0.1119679717683979</v>
      </c>
      <c r="D19" s="1">
        <v>0.58232083113224153</v>
      </c>
      <c r="E19" s="1">
        <v>0.50479684869277941</v>
      </c>
      <c r="F19" s="1">
        <v>0.88336402701043593</v>
      </c>
      <c r="G19" s="1">
        <v>0.37867489089881168</v>
      </c>
    </row>
    <row r="20" spans="1:7" x14ac:dyDescent="0.3">
      <c r="A20" t="s">
        <v>16</v>
      </c>
      <c r="B20" t="s">
        <v>21</v>
      </c>
      <c r="C20" s="1">
        <v>0.21080614008244061</v>
      </c>
      <c r="D20" s="1">
        <v>0.57373857301555997</v>
      </c>
      <c r="E20" s="1">
        <v>0.26477969439944088</v>
      </c>
      <c r="F20" s="1">
        <v>0.40607734806629853</v>
      </c>
      <c r="G20" s="1">
        <v>0.36677382411908838</v>
      </c>
    </row>
    <row r="21" spans="1:7" x14ac:dyDescent="0.3">
      <c r="A21" t="s">
        <v>17</v>
      </c>
      <c r="B21" t="s">
        <v>21</v>
      </c>
      <c r="C21" s="1">
        <v>6.3539155792845692E-2</v>
      </c>
      <c r="D21" s="1">
        <v>0.56812678891231694</v>
      </c>
      <c r="E21" s="1">
        <v>0.4062708472314876</v>
      </c>
      <c r="F21" s="1">
        <v>0.59456210354000416</v>
      </c>
      <c r="G21" s="1">
        <v>0.33392054732836263</v>
      </c>
    </row>
    <row r="22" spans="1:7" x14ac:dyDescent="0.3">
      <c r="A22" t="s">
        <v>18</v>
      </c>
      <c r="B22" t="s">
        <v>21</v>
      </c>
      <c r="C22" s="1">
        <v>0.1448699709807228</v>
      </c>
      <c r="D22" s="1">
        <v>0.58628279626694835</v>
      </c>
      <c r="E22" s="1">
        <v>0.1943517900822771</v>
      </c>
      <c r="F22" s="1">
        <v>0.63159914057704114</v>
      </c>
      <c r="G22" s="1">
        <v>0.3313314649155239</v>
      </c>
    </row>
    <row r="23" spans="1:7" x14ac:dyDescent="0.3">
      <c r="A23" t="s">
        <v>11</v>
      </c>
      <c r="B23" t="s">
        <v>22</v>
      </c>
      <c r="C23" s="1">
        <v>0.15765904626203761</v>
      </c>
      <c r="D23" s="1">
        <v>0.69686732624648451</v>
      </c>
      <c r="E23" s="1">
        <v>1</v>
      </c>
      <c r="F23" s="1">
        <v>0.67252404338039695</v>
      </c>
      <c r="G23" s="1">
        <v>0.54181054900340886</v>
      </c>
    </row>
    <row r="24" spans="1:7" x14ac:dyDescent="0.3">
      <c r="A24" t="s">
        <v>13</v>
      </c>
      <c r="B24" t="s">
        <v>22</v>
      </c>
      <c r="C24" s="1">
        <v>0.1209542763523147</v>
      </c>
      <c r="D24" s="1">
        <v>0.57904466764297191</v>
      </c>
      <c r="E24" s="1">
        <v>0.933876552622383</v>
      </c>
      <c r="F24" s="1">
        <v>0.68738489871086561</v>
      </c>
      <c r="G24" s="1">
        <v>0.46677488812259132</v>
      </c>
    </row>
    <row r="25" spans="1:7" x14ac:dyDescent="0.3">
      <c r="A25" t="s">
        <v>14</v>
      </c>
      <c r="B25" t="s">
        <v>22</v>
      </c>
      <c r="C25" s="1">
        <v>0.11102105712252811</v>
      </c>
      <c r="D25" s="1">
        <v>0.69235907303636823</v>
      </c>
      <c r="E25" s="1">
        <v>0.63288223895295281</v>
      </c>
      <c r="F25" s="1">
        <v>0.45736136689175372</v>
      </c>
      <c r="G25" s="1">
        <v>0.44792849985414912</v>
      </c>
    </row>
    <row r="26" spans="1:7" x14ac:dyDescent="0.3">
      <c r="A26" t="s">
        <v>15</v>
      </c>
      <c r="B26" t="s">
        <v>22</v>
      </c>
      <c r="C26" s="1">
        <v>0.10917775001812741</v>
      </c>
      <c r="D26" s="1">
        <v>0.72236295298583975</v>
      </c>
      <c r="E26" s="1">
        <v>0.64717748340163284</v>
      </c>
      <c r="F26" s="1">
        <v>0.85648148148148162</v>
      </c>
      <c r="G26" s="1">
        <v>0.46205177788191348</v>
      </c>
    </row>
    <row r="27" spans="1:7" x14ac:dyDescent="0.3">
      <c r="A27" t="s">
        <v>16</v>
      </c>
      <c r="B27" t="s">
        <v>22</v>
      </c>
      <c r="C27" s="1">
        <v>8.3839699752236235E-2</v>
      </c>
      <c r="D27" s="1">
        <v>0.65872830395897441</v>
      </c>
      <c r="E27" s="1">
        <v>0.37369357349344001</v>
      </c>
      <c r="F27" s="1">
        <v>0.45155514630652771</v>
      </c>
      <c r="G27" s="1">
        <v>0.37176591618317228</v>
      </c>
    </row>
    <row r="28" spans="1:7" x14ac:dyDescent="0.3">
      <c r="A28" t="s">
        <v>17</v>
      </c>
      <c r="B28" t="s">
        <v>22</v>
      </c>
      <c r="C28" s="1">
        <v>0.1037935040267321</v>
      </c>
      <c r="D28" s="1">
        <v>0.62592800867940168</v>
      </c>
      <c r="E28" s="1">
        <v>0.7028018679119411</v>
      </c>
      <c r="F28" s="1">
        <v>0.4669531409862902</v>
      </c>
      <c r="G28" s="1">
        <v>0.43244897866484178</v>
      </c>
    </row>
    <row r="29" spans="1:7" x14ac:dyDescent="0.3">
      <c r="A29" t="s">
        <v>18</v>
      </c>
      <c r="B29" t="s">
        <v>22</v>
      </c>
      <c r="C29" s="1">
        <v>7.8195736575853755E-2</v>
      </c>
      <c r="D29" s="1">
        <v>0.52450152734610878</v>
      </c>
      <c r="E29" s="1">
        <v>0.89793195463642428</v>
      </c>
      <c r="F29" s="1">
        <v>0.67162881113157358</v>
      </c>
      <c r="G29" s="1">
        <v>0.42066529649606987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"/>
  <sheetViews>
    <sheetView workbookViewId="0">
      <selection activeCell="N5" sqref="N5"/>
    </sheetView>
  </sheetViews>
  <sheetFormatPr defaultRowHeight="14.4" x14ac:dyDescent="0.3"/>
  <cols>
    <col min="1" max="1" width="15" customWidth="1"/>
    <col min="2" max="2" width="10.44140625" customWidth="1"/>
    <col min="3" max="3" width="10" bestFit="1" customWidth="1"/>
    <col min="4" max="5" width="12" bestFit="1" customWidth="1"/>
    <col min="6" max="6" width="13.77734375" bestFit="1" customWidth="1"/>
    <col min="7" max="9" width="12" bestFit="1" customWidth="1"/>
  </cols>
  <sheetData>
    <row r="1" spans="1:16" x14ac:dyDescent="0.3">
      <c r="A1" s="50" t="s">
        <v>0</v>
      </c>
      <c r="B1" s="50" t="s">
        <v>1</v>
      </c>
      <c r="C1" s="50" t="s">
        <v>71</v>
      </c>
      <c r="D1" s="50" t="s">
        <v>72</v>
      </c>
      <c r="E1" s="50" t="s">
        <v>73</v>
      </c>
      <c r="F1" s="50" t="s">
        <v>74</v>
      </c>
      <c r="G1" s="50" t="s">
        <v>75</v>
      </c>
      <c r="H1" s="50" t="s">
        <v>87</v>
      </c>
      <c r="I1" s="63" t="s">
        <v>93</v>
      </c>
      <c r="J1" s="63" t="s">
        <v>94</v>
      </c>
      <c r="K1" s="67" t="s">
        <v>3</v>
      </c>
      <c r="L1" s="67" t="s">
        <v>2</v>
      </c>
    </row>
    <row r="2" spans="1:16" x14ac:dyDescent="0.3">
      <c r="A2" t="s">
        <v>11</v>
      </c>
      <c r="B2" s="16" t="s">
        <v>12</v>
      </c>
      <c r="C2" s="1">
        <v>0.88250691404677506</v>
      </c>
      <c r="D2" s="1">
        <v>0.67578263519166337</v>
      </c>
      <c r="E2" s="1">
        <v>0.38972013088090468</v>
      </c>
      <c r="F2" s="1">
        <v>0.68618272969101701</v>
      </c>
      <c r="G2" s="1">
        <v>0.70125984587155643</v>
      </c>
      <c r="H2" s="1">
        <v>0.6149618892825145</v>
      </c>
      <c r="I2" s="59">
        <f>(C2*$B$33)+(D2*$B$34)+(E2*$B$35)+($B$36*F2)</f>
        <v>0.61498085878815534</v>
      </c>
      <c r="J2" s="1">
        <v>14157.47</v>
      </c>
      <c r="K2">
        <v>1789900</v>
      </c>
      <c r="L2">
        <v>525700</v>
      </c>
    </row>
    <row r="3" spans="1:16" x14ac:dyDescent="0.3">
      <c r="A3" t="s">
        <v>13</v>
      </c>
      <c r="B3" s="16" t="s">
        <v>12</v>
      </c>
      <c r="C3" s="1">
        <v>0.72818687697580353</v>
      </c>
      <c r="D3" s="1">
        <v>0.44602923049832732</v>
      </c>
      <c r="E3" s="1">
        <v>5.9627052955939001E-2</v>
      </c>
      <c r="F3" s="1">
        <v>0.72142930223040724</v>
      </c>
      <c r="G3" s="1">
        <v>0.48161185358084008</v>
      </c>
      <c r="H3" s="1">
        <v>0.39364392697235678</v>
      </c>
      <c r="I3" s="60">
        <f t="shared" ref="I3:I29" si="0">(C3*$B$33)+(D3*$B$34)+(E3*$B$35)+($B$36*F3)</f>
        <v>0.3936650739061866</v>
      </c>
      <c r="J3" s="1">
        <v>10804.49</v>
      </c>
      <c r="K3">
        <v>1125300</v>
      </c>
      <c r="L3">
        <v>518600</v>
      </c>
    </row>
    <row r="4" spans="1:16" x14ac:dyDescent="0.3">
      <c r="A4" t="s">
        <v>14</v>
      </c>
      <c r="B4" s="16" t="s">
        <v>12</v>
      </c>
      <c r="C4" s="1">
        <v>0.85873322351404346</v>
      </c>
      <c r="D4" s="1">
        <v>0.63437098507245382</v>
      </c>
      <c r="E4" s="1">
        <v>0.14693922932748821</v>
      </c>
      <c r="F4" s="1">
        <v>0.62960405156537758</v>
      </c>
      <c r="G4" s="1">
        <v>0.62662952930009652</v>
      </c>
      <c r="H4" s="1">
        <v>0.49408847250071569</v>
      </c>
      <c r="I4" s="60">
        <f t="shared" si="0"/>
        <v>0.49411743888112974</v>
      </c>
      <c r="J4" s="1">
        <v>7660.26</v>
      </c>
      <c r="K4">
        <v>1389000</v>
      </c>
      <c r="L4">
        <v>541100</v>
      </c>
      <c r="P4" s="18"/>
    </row>
    <row r="5" spans="1:16" x14ac:dyDescent="0.3">
      <c r="A5" t="s">
        <v>15</v>
      </c>
      <c r="B5" s="16" t="s">
        <v>12</v>
      </c>
      <c r="C5" s="1">
        <v>0.94022625847925767</v>
      </c>
      <c r="D5" s="1">
        <v>0.71823568136932203</v>
      </c>
      <c r="E5" s="1">
        <v>0.12506750532100769</v>
      </c>
      <c r="F5" s="1">
        <v>0.69595355023531824</v>
      </c>
      <c r="G5" s="1">
        <v>0.68839827700363343</v>
      </c>
      <c r="H5" s="1">
        <v>0.53206254996390201</v>
      </c>
      <c r="I5" s="60">
        <f t="shared" si="0"/>
        <v>0.53209659126323539</v>
      </c>
      <c r="J5" s="1">
        <v>9055.3799999999992</v>
      </c>
      <c r="K5">
        <v>1493000</v>
      </c>
      <c r="L5">
        <v>579900</v>
      </c>
      <c r="P5" s="18"/>
    </row>
    <row r="6" spans="1:16" x14ac:dyDescent="0.3">
      <c r="A6" t="s">
        <v>16</v>
      </c>
      <c r="B6" s="16" t="s">
        <v>12</v>
      </c>
      <c r="C6" s="1">
        <v>0.53650129832411009</v>
      </c>
      <c r="D6" s="1">
        <v>0.48728705053242949</v>
      </c>
      <c r="E6" s="1">
        <v>8.856698116204452E-2</v>
      </c>
      <c r="F6" s="1">
        <v>0.461632903621854</v>
      </c>
      <c r="G6" s="1">
        <v>0.42722873577502479</v>
      </c>
      <c r="H6" s="1">
        <v>0.3342512540321767</v>
      </c>
      <c r="I6" s="60">
        <f t="shared" si="0"/>
        <v>0.33427139081109486</v>
      </c>
      <c r="J6" s="1">
        <v>5539</v>
      </c>
      <c r="K6">
        <v>665800</v>
      </c>
      <c r="L6">
        <v>363200</v>
      </c>
      <c r="P6" s="18"/>
    </row>
    <row r="7" spans="1:16" x14ac:dyDescent="0.3">
      <c r="A7" t="s">
        <v>17</v>
      </c>
      <c r="B7" s="16" t="s">
        <v>12</v>
      </c>
      <c r="C7" s="1">
        <v>0.58263330416284809</v>
      </c>
      <c r="D7" s="1">
        <v>0.48616242161708001</v>
      </c>
      <c r="E7" s="1">
        <v>0</v>
      </c>
      <c r="F7" s="1">
        <v>0.6138991201145898</v>
      </c>
      <c r="G7" s="1">
        <v>0.42751829031197131</v>
      </c>
      <c r="H7" s="1">
        <v>0.3269408201457451</v>
      </c>
      <c r="I7" s="60">
        <f t="shared" si="0"/>
        <v>0.32696366631407259</v>
      </c>
      <c r="J7" s="1">
        <v>8758.51</v>
      </c>
      <c r="K7">
        <v>854000</v>
      </c>
      <c r="L7">
        <v>402300</v>
      </c>
      <c r="P7" s="18"/>
    </row>
    <row r="8" spans="1:16" x14ac:dyDescent="0.3">
      <c r="A8" s="53" t="s">
        <v>18</v>
      </c>
      <c r="B8" s="54" t="s">
        <v>12</v>
      </c>
      <c r="C8" s="55">
        <v>0.76268779499802042</v>
      </c>
      <c r="D8" s="55">
        <v>0.58897151894515465</v>
      </c>
      <c r="E8" s="55">
        <v>0.19449474252676391</v>
      </c>
      <c r="F8" s="55">
        <v>0.65735625127890329</v>
      </c>
      <c r="G8" s="55">
        <v>0.57956267408262285</v>
      </c>
      <c r="H8" s="55">
        <v>0.48135536451196947</v>
      </c>
      <c r="I8" s="61">
        <f t="shared" si="0"/>
        <v>0.48137731547371498</v>
      </c>
      <c r="J8" s="1">
        <v>8738.8799999999992</v>
      </c>
      <c r="K8">
        <v>1289900</v>
      </c>
      <c r="L8">
        <v>460000</v>
      </c>
      <c r="P8" s="18"/>
    </row>
    <row r="9" spans="1:16" x14ac:dyDescent="0.3">
      <c r="A9" t="s">
        <v>11</v>
      </c>
      <c r="B9" s="15" t="s">
        <v>20</v>
      </c>
      <c r="C9" s="1">
        <v>3.6879149566339711E-2</v>
      </c>
      <c r="D9" s="1">
        <v>0.53502636847046636</v>
      </c>
      <c r="E9" s="1">
        <v>0.48282982305664091</v>
      </c>
      <c r="F9" s="1">
        <v>0.73240229179455696</v>
      </c>
      <c r="G9" s="1">
        <v>0.32532817182605073</v>
      </c>
      <c r="H9" s="1">
        <v>0.40249619135960141</v>
      </c>
      <c r="I9" s="60">
        <f t="shared" si="0"/>
        <v>0.40248053119631294</v>
      </c>
      <c r="J9" s="1">
        <v>31481.21</v>
      </c>
      <c r="K9">
        <v>100300</v>
      </c>
      <c r="L9">
        <v>54400</v>
      </c>
      <c r="P9" s="18"/>
    </row>
    <row r="10" spans="1:16" x14ac:dyDescent="0.3">
      <c r="A10" t="s">
        <v>13</v>
      </c>
      <c r="B10" s="15" t="s">
        <v>20</v>
      </c>
      <c r="C10" s="1">
        <v>5.7340989176791118E-2</v>
      </c>
      <c r="D10" s="1">
        <v>0.54490325687386887</v>
      </c>
      <c r="E10" s="1">
        <v>0.19160392642714191</v>
      </c>
      <c r="F10" s="1">
        <v>0.75928483732351149</v>
      </c>
      <c r="G10" s="1">
        <v>0.27921848370569241</v>
      </c>
      <c r="H10" s="1">
        <v>0.29374075432724428</v>
      </c>
      <c r="I10" s="60">
        <f t="shared" si="0"/>
        <v>0.29373888669286541</v>
      </c>
      <c r="J10" s="1">
        <v>39849.93</v>
      </c>
      <c r="K10">
        <v>140500</v>
      </c>
      <c r="L10">
        <v>71600</v>
      </c>
      <c r="P10" s="18"/>
    </row>
    <row r="11" spans="1:16" x14ac:dyDescent="0.3">
      <c r="A11" t="s">
        <v>14</v>
      </c>
      <c r="B11" s="15" t="s">
        <v>20</v>
      </c>
      <c r="C11" s="1">
        <v>4.150584614097453E-2</v>
      </c>
      <c r="D11" s="1">
        <v>0.54252909179621944</v>
      </c>
      <c r="E11" s="1">
        <v>0.20327837606023061</v>
      </c>
      <c r="F11" s="1">
        <v>0.4720687538367096</v>
      </c>
      <c r="G11" s="1">
        <v>0.27426965038692369</v>
      </c>
      <c r="H11" s="1">
        <v>0.26193257133840331</v>
      </c>
      <c r="I11" s="60">
        <f t="shared" si="0"/>
        <v>0.26193463823653285</v>
      </c>
      <c r="J11" s="1">
        <v>34682.559999999998</v>
      </c>
      <c r="K11">
        <v>100000</v>
      </c>
      <c r="L11">
        <v>61800</v>
      </c>
      <c r="P11" s="18"/>
    </row>
    <row r="12" spans="1:16" x14ac:dyDescent="0.3">
      <c r="A12" t="s">
        <v>15</v>
      </c>
      <c r="B12" s="15" t="s">
        <v>20</v>
      </c>
      <c r="C12" s="1">
        <v>6.5468999186196808E-2</v>
      </c>
      <c r="D12" s="1">
        <v>0.54164465574925158</v>
      </c>
      <c r="E12" s="1">
        <v>0.24008068871311031</v>
      </c>
      <c r="F12" s="1">
        <v>0.79309903826478423</v>
      </c>
      <c r="G12" s="1">
        <v>0.29086159971680142</v>
      </c>
      <c r="H12" s="1">
        <v>0.3188283764689262</v>
      </c>
      <c r="I12" s="60">
        <f t="shared" si="0"/>
        <v>0.31882382800422882</v>
      </c>
      <c r="J12" s="1">
        <v>36079.629999999997</v>
      </c>
      <c r="K12">
        <v>206200</v>
      </c>
      <c r="L12">
        <v>59300</v>
      </c>
    </row>
    <row r="13" spans="1:16" x14ac:dyDescent="0.3">
      <c r="A13" t="s">
        <v>16</v>
      </c>
      <c r="B13" s="15" t="s">
        <v>20</v>
      </c>
      <c r="C13" s="1">
        <v>3.4845452389389027E-2</v>
      </c>
      <c r="D13" s="1">
        <v>0.51628906423431964</v>
      </c>
      <c r="E13" s="1">
        <v>0.33728835096413479</v>
      </c>
      <c r="F13" s="1">
        <v>0.53084714548802969</v>
      </c>
      <c r="G13" s="1">
        <v>0.28791147684231039</v>
      </c>
      <c r="H13" s="1">
        <v>0.31599745107370419</v>
      </c>
      <c r="I13" s="60">
        <f t="shared" si="0"/>
        <v>0.31599127456610743</v>
      </c>
      <c r="J13" s="1">
        <v>27101.279999999999</v>
      </c>
      <c r="K13">
        <v>126000</v>
      </c>
      <c r="L13">
        <v>39100</v>
      </c>
    </row>
    <row r="14" spans="1:16" x14ac:dyDescent="0.3">
      <c r="A14" t="s">
        <v>17</v>
      </c>
      <c r="B14" s="15" t="s">
        <v>20</v>
      </c>
      <c r="C14" s="1">
        <v>4.0443501151241387E-2</v>
      </c>
      <c r="D14" s="1">
        <v>0.50519950324590746</v>
      </c>
      <c r="E14" s="1">
        <v>0.21951142031195409</v>
      </c>
      <c r="F14" s="1">
        <v>0.57133722119909969</v>
      </c>
      <c r="G14" s="1">
        <v>0.26215948582125043</v>
      </c>
      <c r="H14" s="1">
        <v>0.27138171465559069</v>
      </c>
      <c r="I14" s="60">
        <f t="shared" si="0"/>
        <v>0.27138000923768385</v>
      </c>
      <c r="J14" s="1">
        <v>29440.92</v>
      </c>
      <c r="K14">
        <v>160900</v>
      </c>
      <c r="L14">
        <v>60900</v>
      </c>
    </row>
    <row r="15" spans="1:16" x14ac:dyDescent="0.3">
      <c r="A15" s="53" t="s">
        <v>18</v>
      </c>
      <c r="B15" s="56" t="s">
        <v>20</v>
      </c>
      <c r="C15" s="55">
        <v>5.1575417830484492E-2</v>
      </c>
      <c r="D15" s="55">
        <v>0.50808291893687763</v>
      </c>
      <c r="E15" s="55">
        <v>0.3037421773245656</v>
      </c>
      <c r="F15" s="55">
        <v>0.63996316758747707</v>
      </c>
      <c r="G15" s="55">
        <v>0.28461177017185801</v>
      </c>
      <c r="H15" s="55">
        <v>0.31708365099238522</v>
      </c>
      <c r="I15" s="61">
        <f t="shared" si="0"/>
        <v>0.31707731720230847</v>
      </c>
      <c r="J15" s="1">
        <v>39759.83</v>
      </c>
      <c r="K15">
        <v>195000</v>
      </c>
      <c r="L15">
        <v>72400</v>
      </c>
    </row>
    <row r="16" spans="1:16" x14ac:dyDescent="0.3">
      <c r="A16" t="s">
        <v>11</v>
      </c>
      <c r="B16" s="17" t="s">
        <v>21</v>
      </c>
      <c r="C16" s="1">
        <v>0.1116619656018778</v>
      </c>
      <c r="D16" s="1">
        <v>0.49999999999999989</v>
      </c>
      <c r="E16" s="1">
        <v>0.52487372534070331</v>
      </c>
      <c r="F16" s="1">
        <v>0.72882136279926346</v>
      </c>
      <c r="G16" s="1">
        <v>0.3496395313088918</v>
      </c>
      <c r="H16" s="1">
        <v>0.43185599486850301</v>
      </c>
      <c r="I16" s="60">
        <f t="shared" si="0"/>
        <v>0.431839478046252</v>
      </c>
      <c r="J16" s="1">
        <v>7861.06</v>
      </c>
      <c r="K16">
        <v>185000</v>
      </c>
      <c r="L16">
        <v>12000</v>
      </c>
    </row>
    <row r="17" spans="1:12" x14ac:dyDescent="0.3">
      <c r="A17" t="s">
        <v>13</v>
      </c>
      <c r="B17" s="17" t="s">
        <v>21</v>
      </c>
      <c r="C17" s="1">
        <v>0.14202413520324109</v>
      </c>
      <c r="D17" s="1">
        <v>0.59006867406233487</v>
      </c>
      <c r="E17" s="1">
        <v>0.45987801391403788</v>
      </c>
      <c r="F17" s="1">
        <v>0.74823511356660533</v>
      </c>
      <c r="G17" s="1">
        <v>0.38481272648903803</v>
      </c>
      <c r="H17" s="1">
        <v>0.43462047926358738</v>
      </c>
      <c r="I17" s="60">
        <f t="shared" si="0"/>
        <v>0.43461054147735212</v>
      </c>
      <c r="J17" s="1">
        <v>15387.51</v>
      </c>
      <c r="K17">
        <v>275000</v>
      </c>
      <c r="L17">
        <v>114300</v>
      </c>
    </row>
    <row r="18" spans="1:12" x14ac:dyDescent="0.3">
      <c r="A18" t="s">
        <v>14</v>
      </c>
      <c r="B18" s="17" t="s">
        <v>21</v>
      </c>
      <c r="C18" s="1">
        <v>0.14884727586008581</v>
      </c>
      <c r="D18" s="1">
        <v>0.58472102096807232</v>
      </c>
      <c r="E18" s="1">
        <v>0.221608056164427</v>
      </c>
      <c r="F18" s="1">
        <v>0.5</v>
      </c>
      <c r="G18" s="1">
        <v>0.33774892996414868</v>
      </c>
      <c r="H18" s="1">
        <v>0.31016719433351608</v>
      </c>
      <c r="I18" s="60">
        <f t="shared" si="0"/>
        <v>0.31017251204079677</v>
      </c>
      <c r="J18" s="1">
        <v>13483.64</v>
      </c>
      <c r="K18">
        <v>275000</v>
      </c>
      <c r="L18">
        <v>108600</v>
      </c>
    </row>
    <row r="19" spans="1:12" x14ac:dyDescent="0.3">
      <c r="A19" t="s">
        <v>15</v>
      </c>
      <c r="B19" s="17" t="s">
        <v>21</v>
      </c>
      <c r="C19" s="1">
        <v>0.1119679717683979</v>
      </c>
      <c r="D19" s="1">
        <v>0.58232083113224153</v>
      </c>
      <c r="E19" s="1">
        <v>0.50479684869277941</v>
      </c>
      <c r="F19" s="1">
        <v>0.88336402701043593</v>
      </c>
      <c r="G19" s="1">
        <v>0.37867489089881168</v>
      </c>
      <c r="H19" s="1">
        <v>0.45833694549021381</v>
      </c>
      <c r="I19" s="60">
        <f t="shared" si="0"/>
        <v>0.45832144961184695</v>
      </c>
      <c r="J19" s="1">
        <v>9196.1200000000008</v>
      </c>
      <c r="K19">
        <v>232000</v>
      </c>
      <c r="L19">
        <v>105500</v>
      </c>
    </row>
    <row r="20" spans="1:12" x14ac:dyDescent="0.3">
      <c r="A20" t="s">
        <v>16</v>
      </c>
      <c r="B20" s="17" t="s">
        <v>21</v>
      </c>
      <c r="C20" s="1">
        <v>0.21080614008244061</v>
      </c>
      <c r="D20" s="1">
        <v>0.57373857301555997</v>
      </c>
      <c r="E20" s="1">
        <v>0.26477969439944088</v>
      </c>
      <c r="F20" s="1">
        <v>0.40607734806629853</v>
      </c>
      <c r="G20" s="1">
        <v>0.36677382411908838</v>
      </c>
      <c r="H20" s="1">
        <v>0.33164970806484129</v>
      </c>
      <c r="I20" s="60">
        <f t="shared" si="0"/>
        <v>0.33165613365108837</v>
      </c>
      <c r="J20" s="1">
        <v>6849.92</v>
      </c>
      <c r="K20">
        <v>345000</v>
      </c>
      <c r="L20">
        <v>96500</v>
      </c>
    </row>
    <row r="21" spans="1:12" x14ac:dyDescent="0.3">
      <c r="A21" t="s">
        <v>17</v>
      </c>
      <c r="B21" s="17" t="s">
        <v>21</v>
      </c>
      <c r="C21" s="1">
        <v>6.3539155792845692E-2</v>
      </c>
      <c r="D21" s="1">
        <v>0.56812678891231694</v>
      </c>
      <c r="E21" s="1">
        <v>0.4062708472314876</v>
      </c>
      <c r="F21" s="1">
        <v>0.59456210354000416</v>
      </c>
      <c r="G21" s="1">
        <v>0.33392054732836263</v>
      </c>
      <c r="H21" s="1">
        <v>0.36999476167632822</v>
      </c>
      <c r="I21" s="60">
        <f t="shared" si="0"/>
        <v>0.369986914785849</v>
      </c>
      <c r="J21" s="1">
        <v>4379.3599999999997</v>
      </c>
      <c r="K21">
        <v>175000</v>
      </c>
      <c r="L21">
        <v>90500</v>
      </c>
    </row>
    <row r="22" spans="1:12" x14ac:dyDescent="0.3">
      <c r="A22" s="53" t="s">
        <v>18</v>
      </c>
      <c r="B22" s="57" t="s">
        <v>21</v>
      </c>
      <c r="C22" s="55">
        <v>0.1448699709807228</v>
      </c>
      <c r="D22" s="55">
        <v>0.58628279626694835</v>
      </c>
      <c r="E22" s="55">
        <v>0.1943517900822771</v>
      </c>
      <c r="F22" s="55">
        <v>0.63159914057704114</v>
      </c>
      <c r="G22" s="55">
        <v>0.3313314649155239</v>
      </c>
      <c r="H22" s="55">
        <v>0.31286786884681489</v>
      </c>
      <c r="I22" s="61">
        <f t="shared" si="0"/>
        <v>0.31287207308374548</v>
      </c>
      <c r="J22" s="1">
        <v>4637.9799999999996</v>
      </c>
      <c r="K22">
        <v>250000</v>
      </c>
      <c r="L22">
        <v>110000</v>
      </c>
    </row>
    <row r="23" spans="1:12" x14ac:dyDescent="0.3">
      <c r="A23" t="s">
        <v>11</v>
      </c>
      <c r="B23" s="52" t="s">
        <v>22</v>
      </c>
      <c r="C23" s="1">
        <v>0.15765904626203761</v>
      </c>
      <c r="D23" s="1">
        <v>0.69686732624648451</v>
      </c>
      <c r="E23" s="1">
        <v>1</v>
      </c>
      <c r="F23" s="1">
        <v>0.67252404338039695</v>
      </c>
      <c r="G23" s="1">
        <v>0.54181054900340886</v>
      </c>
      <c r="H23" s="1">
        <v>0.67433752202481378</v>
      </c>
      <c r="I23" s="59">
        <f t="shared" si="0"/>
        <v>0.67430826776222963</v>
      </c>
      <c r="J23" s="1">
        <v>3876.46</v>
      </c>
      <c r="K23">
        <v>173600</v>
      </c>
      <c r="L23">
        <v>417300</v>
      </c>
    </row>
    <row r="24" spans="1:12" x14ac:dyDescent="0.3">
      <c r="A24" t="s">
        <v>13</v>
      </c>
      <c r="B24" s="52" t="s">
        <v>22</v>
      </c>
      <c r="C24" s="1">
        <v>0.1209542763523147</v>
      </c>
      <c r="D24" s="1">
        <v>0.57904466764297191</v>
      </c>
      <c r="E24" s="1">
        <v>0.933876552622383</v>
      </c>
      <c r="F24" s="1">
        <v>0.68738489871086561</v>
      </c>
      <c r="G24" s="1">
        <v>0.46677488812259132</v>
      </c>
      <c r="H24" s="1">
        <v>0.61407435399217991</v>
      </c>
      <c r="I24" s="59">
        <f t="shared" si="0"/>
        <v>0.61404279584223354</v>
      </c>
      <c r="J24" s="1">
        <v>13437.7</v>
      </c>
      <c r="K24">
        <v>366500</v>
      </c>
      <c r="L24">
        <v>407600</v>
      </c>
    </row>
    <row r="25" spans="1:12" x14ac:dyDescent="0.3">
      <c r="A25" t="s">
        <v>14</v>
      </c>
      <c r="B25" s="52" t="s">
        <v>22</v>
      </c>
      <c r="C25" s="1">
        <v>0.11102105712252811</v>
      </c>
      <c r="D25" s="1">
        <v>0.69235907303636823</v>
      </c>
      <c r="E25" s="1">
        <v>0.63288223895295281</v>
      </c>
      <c r="F25" s="1">
        <v>0.45736136689175372</v>
      </c>
      <c r="G25" s="1">
        <v>0.44792849985414912</v>
      </c>
      <c r="H25" s="1">
        <v>0.48667095065297372</v>
      </c>
      <c r="I25" s="60">
        <f t="shared" si="0"/>
        <v>0.48666073213377681</v>
      </c>
      <c r="J25" s="1">
        <v>10260.61</v>
      </c>
      <c r="K25">
        <v>273500</v>
      </c>
      <c r="L25">
        <v>421900</v>
      </c>
    </row>
    <row r="26" spans="1:12" x14ac:dyDescent="0.3">
      <c r="A26" t="s">
        <v>15</v>
      </c>
      <c r="B26" s="52" t="s">
        <v>22</v>
      </c>
      <c r="C26" s="1">
        <v>0.10917775001812741</v>
      </c>
      <c r="D26" s="1">
        <v>0.72236295298583975</v>
      </c>
      <c r="E26" s="1">
        <v>0.64717748340163284</v>
      </c>
      <c r="F26" s="1">
        <v>0.85648148148148162</v>
      </c>
      <c r="G26" s="1">
        <v>0.46205177788191348</v>
      </c>
      <c r="H26" s="1">
        <v>0.54267583811028286</v>
      </c>
      <c r="I26" s="59">
        <f t="shared" si="0"/>
        <v>0.5426589617416393</v>
      </c>
      <c r="J26" s="1">
        <v>7522.39</v>
      </c>
      <c r="K26">
        <v>329000</v>
      </c>
      <c r="L26">
        <v>457100</v>
      </c>
    </row>
    <row r="27" spans="1:12" x14ac:dyDescent="0.3">
      <c r="A27" t="s">
        <v>16</v>
      </c>
      <c r="B27" s="52" t="s">
        <v>22</v>
      </c>
      <c r="C27" s="1">
        <v>8.3839699752236235E-2</v>
      </c>
      <c r="D27" s="1">
        <v>0.65872830395897441</v>
      </c>
      <c r="E27" s="1">
        <v>0.37369357349344001</v>
      </c>
      <c r="F27" s="1">
        <v>0.45155514630652771</v>
      </c>
      <c r="G27" s="1">
        <v>0.37176591618317228</v>
      </c>
      <c r="H27" s="1">
        <v>0.36545002215300187</v>
      </c>
      <c r="I27" s="60">
        <f t="shared" si="0"/>
        <v>0.36544982899301542</v>
      </c>
      <c r="J27" s="1">
        <v>6600.41</v>
      </c>
      <c r="K27">
        <v>240900</v>
      </c>
      <c r="L27">
        <v>433800</v>
      </c>
    </row>
    <row r="28" spans="1:12" x14ac:dyDescent="0.3">
      <c r="A28" t="s">
        <v>17</v>
      </c>
      <c r="B28" s="52" t="s">
        <v>22</v>
      </c>
      <c r="C28" s="1">
        <v>0.1037935040267321</v>
      </c>
      <c r="D28" s="1">
        <v>0.62592800867940168</v>
      </c>
      <c r="E28" s="1">
        <v>0.7028018679119411</v>
      </c>
      <c r="F28" s="1">
        <v>0.4669531409862902</v>
      </c>
      <c r="G28" s="1">
        <v>0.43244897866484178</v>
      </c>
      <c r="H28" s="1">
        <v>0.50033915202528467</v>
      </c>
      <c r="I28" s="60">
        <f t="shared" si="0"/>
        <v>0.50032310240115574</v>
      </c>
      <c r="J28" s="1">
        <v>3001.86</v>
      </c>
      <c r="K28">
        <v>328500</v>
      </c>
      <c r="L28">
        <v>411500</v>
      </c>
    </row>
    <row r="29" spans="1:12" x14ac:dyDescent="0.3">
      <c r="A29" s="53" t="s">
        <v>18</v>
      </c>
      <c r="B29" s="58" t="s">
        <v>22</v>
      </c>
      <c r="C29" s="55">
        <v>7.8195736575853755E-2</v>
      </c>
      <c r="D29" s="55">
        <v>0.52450152734610878</v>
      </c>
      <c r="E29" s="55">
        <v>0.89793195463642428</v>
      </c>
      <c r="F29" s="55">
        <v>0.67162881113157358</v>
      </c>
      <c r="G29" s="55">
        <v>0.42066529649606987</v>
      </c>
      <c r="H29" s="55">
        <v>0.57459951025004097</v>
      </c>
      <c r="I29" s="62">
        <f t="shared" si="0"/>
        <v>0.57456676942129503</v>
      </c>
      <c r="J29" s="1">
        <v>1132.31</v>
      </c>
      <c r="K29">
        <v>224000</v>
      </c>
      <c r="L29">
        <v>395000</v>
      </c>
    </row>
    <row r="32" spans="1:12" x14ac:dyDescent="0.3">
      <c r="A32" t="s">
        <v>88</v>
      </c>
      <c r="B32" t="s">
        <v>77</v>
      </c>
    </row>
    <row r="33" spans="1:2" x14ac:dyDescent="0.3">
      <c r="A33" t="s">
        <v>89</v>
      </c>
      <c r="B33" s="51">
        <v>0.2671</v>
      </c>
    </row>
    <row r="34" spans="1:2" x14ac:dyDescent="0.3">
      <c r="A34" t="s">
        <v>90</v>
      </c>
      <c r="B34" s="51">
        <v>0.21240000000000001</v>
      </c>
    </row>
    <row r="35" spans="1:2" x14ac:dyDescent="0.3">
      <c r="A35" t="s">
        <v>91</v>
      </c>
      <c r="B35" s="51">
        <v>0.40960000000000002</v>
      </c>
    </row>
    <row r="36" spans="1:2" x14ac:dyDescent="0.3">
      <c r="A36" t="s">
        <v>92</v>
      </c>
      <c r="B36" s="51">
        <v>0.1109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Correlation</vt:lpstr>
      <vt:lpstr>Standardization</vt:lpstr>
      <vt:lpstr>SubIndices</vt:lpstr>
      <vt:lpstr>Data4</vt:lpstr>
      <vt:lpstr>ISMA_PCA</vt:lpstr>
      <vt:lpstr>PCA</vt:lpstr>
      <vt:lpstr>ISMA_FINAL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Valente Meira</dc:creator>
  <cp:lastModifiedBy>Ines Valente Meira</cp:lastModifiedBy>
  <dcterms:created xsi:type="dcterms:W3CDTF">2015-06-05T18:17:20Z</dcterms:created>
  <dcterms:modified xsi:type="dcterms:W3CDTF">2025-11-25T11:36:58Z</dcterms:modified>
</cp:coreProperties>
</file>