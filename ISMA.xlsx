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4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5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445" firstSheet="0" activeTab="0" autoFilterDateGrouping="1"/>
  </bookViews>
  <sheets>
    <sheet name="Data4" sheetId="1" state="visible" r:id="rId1"/>
    <sheet name="Correlation" sheetId="2" state="visible" r:id="rId2"/>
    <sheet name="Standardization" sheetId="3" state="visible" r:id="rId3"/>
    <sheet name="SubIndices" sheetId="4" state="visible" r:id="rId4"/>
    <sheet name="ISMA_PCA" sheetId="5" state="visible" r:id="rId5"/>
    <sheet name="PCA" sheetId="6" state="visible" r:id="rId6"/>
    <sheet name="ISMA_FINAL" sheetId="7" state="visible" r:id="rId7"/>
    <sheet name="ISMA_v2" sheetId="8" state="visible" r:id="rId8"/>
  </sheets>
  <externalReferences>
    <externalReference r:id="rId9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5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0"/>
      <sz val="11"/>
      <scheme val="minor"/>
    </font>
    <font>
      <b val="1"/>
    </font>
  </fonts>
  <fills count="9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/>
        <bgColor theme="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/>
      <right/>
      <top style="thin">
        <color theme="4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69">
    <xf numFmtId="0" fontId="0" fillId="0" borderId="0" pivotButton="0" quotePrefix="0" xfId="0"/>
    <xf numFmtId="4" fontId="0" fillId="0" borderId="0" pivotButton="0" quotePrefix="0" xfId="0"/>
    <xf numFmtId="0" fontId="0" fillId="0" borderId="0" pivotButton="0" quotePrefix="0" xfId="1"/>
    <xf numFmtId="9" fontId="0" fillId="0" borderId="0" pivotButton="0" quotePrefix="0" xfId="1"/>
    <xf numFmtId="0" fontId="0" fillId="4" borderId="0" pivotButton="0" quotePrefix="0" xfId="0"/>
    <xf numFmtId="4" fontId="0" fillId="4" borderId="0" pivotButton="0" quotePrefix="0" xfId="0"/>
    <xf numFmtId="0" fontId="0" fillId="4" borderId="0" pivotButton="0" quotePrefix="0" xfId="1"/>
    <xf numFmtId="164" fontId="0" fillId="0" borderId="0" pivotButton="0" quotePrefix="0" xfId="1"/>
    <xf numFmtId="164" fontId="0" fillId="4" borderId="0" pivotButton="0" quotePrefix="0" xfId="1"/>
    <xf numFmtId="0" fontId="0" fillId="0" borderId="2" pivotButton="0" quotePrefix="0" xfId="0"/>
    <xf numFmtId="0" fontId="5" fillId="0" borderId="3" applyAlignment="1" pivotButton="0" quotePrefix="0" xfId="0">
      <alignment horizontal="center"/>
    </xf>
    <xf numFmtId="0" fontId="0" fillId="4" borderId="0" applyAlignment="1" pivotButton="0" quotePrefix="0" xfId="1">
      <alignment vertical="center" wrapText="1"/>
    </xf>
    <xf numFmtId="0" fontId="0" fillId="2" borderId="1" pivotButton="0" quotePrefix="0" xfId="1"/>
    <xf numFmtId="0" fontId="0" fillId="0" borderId="1" pivotButton="0" quotePrefix="0" xfId="1"/>
    <xf numFmtId="0" fontId="0" fillId="4" borderId="1" pivotButton="0" quotePrefix="0" xfId="1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0" borderId="2" pivotButton="0" quotePrefix="0" xfId="0"/>
    <xf numFmtId="0" fontId="6" fillId="0" borderId="2" pivotButton="0" quotePrefix="0" xfId="0"/>
    <xf numFmtId="0" fontId="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0" fontId="2" fillId="3" borderId="4" pivotButton="0" quotePrefix="0" xfId="0"/>
    <xf numFmtId="164" fontId="2" fillId="3" borderId="4" pivotButton="0" quotePrefix="0" xfId="1"/>
    <xf numFmtId="0" fontId="0" fillId="0" borderId="5" pivotButton="0" quotePrefix="0" xfId="0"/>
    <xf numFmtId="0" fontId="0" fillId="0" borderId="5" applyAlignment="1" pivotButton="0" quotePrefix="0" xfId="0">
      <alignment vertical="center" wrapText="1"/>
    </xf>
    <xf numFmtId="0" fontId="0" fillId="0" borderId="5" pivotButton="0" quotePrefix="0" xfId="1"/>
    <xf numFmtId="0" fontId="0" fillId="0" borderId="4" pivotButton="0" quotePrefix="0" xfId="0"/>
    <xf numFmtId="4" fontId="0" fillId="0" borderId="4" pivotButton="0" quotePrefix="0" xfId="0"/>
    <xf numFmtId="4" fontId="0" fillId="0" borderId="1" pivotButton="0" quotePrefix="0" xfId="0"/>
    <xf numFmtId="4" fontId="0" fillId="0" borderId="5" pivotButton="0" quotePrefix="0" xfId="0"/>
    <xf numFmtId="0" fontId="0" fillId="0" borderId="4" applyAlignment="1" pivotButton="0" quotePrefix="0" xfId="0">
      <alignment vertical="center" wrapText="1"/>
    </xf>
    <xf numFmtId="4" fontId="0" fillId="0" borderId="4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4" fontId="0" fillId="0" borderId="5" applyAlignment="1" pivotButton="0" quotePrefix="0" xfId="0">
      <alignment vertical="center" wrapText="1"/>
    </xf>
    <xf numFmtId="0" fontId="0" fillId="0" borderId="4" pivotButton="0" quotePrefix="0" xfId="1"/>
    <xf numFmtId="4" fontId="0" fillId="0" borderId="4" pivotButton="0" quotePrefix="0" xfId="1"/>
    <xf numFmtId="4" fontId="0" fillId="0" borderId="1" pivotButton="0" quotePrefix="0" xfId="1"/>
    <xf numFmtId="4" fontId="0" fillId="0" borderId="5" pivotButton="0" quotePrefix="0" xfId="1"/>
    <xf numFmtId="4" fontId="0" fillId="0" borderId="0" pivotButton="0" quotePrefix="0" xfId="1"/>
    <xf numFmtId="0" fontId="7" fillId="0" borderId="6" applyAlignment="1" pivotButton="0" quotePrefix="0" xfId="0">
      <alignment horizontal="center" vertical="top"/>
    </xf>
    <xf numFmtId="4" fontId="7" fillId="0" borderId="6" applyAlignment="1" pivotButton="0" quotePrefix="0" xfId="0">
      <alignment horizontal="center" vertical="top"/>
    </xf>
    <xf numFmtId="0" fontId="4" fillId="0" borderId="7" pivotButton="0" quotePrefix="0" xfId="0"/>
    <xf numFmtId="0" fontId="4" fillId="0" borderId="6" pivotButton="0" quotePrefix="0" xfId="0"/>
    <xf numFmtId="0" fontId="8" fillId="0" borderId="8" applyAlignment="1" pivotButton="0" quotePrefix="0" xfId="0">
      <alignment horizontal="center" vertical="top"/>
    </xf>
    <xf numFmtId="9" fontId="1" fillId="0" borderId="0" pivotButton="0" quotePrefix="0" xfId="1"/>
    <xf numFmtId="0" fontId="0" fillId="8" borderId="0" pivotButton="0" quotePrefix="0" xfId="0"/>
    <xf numFmtId="0" fontId="0" fillId="0" borderId="9" pivotButton="0" quotePrefix="0" xfId="0"/>
    <xf numFmtId="0" fontId="0" fillId="6" borderId="9" pivotButton="0" quotePrefix="0" xfId="0"/>
    <xf numFmtId="4" fontId="0" fillId="0" borderId="9" pivotButton="0" quotePrefix="0" xfId="0"/>
    <xf numFmtId="0" fontId="0" fillId="5" borderId="9" pivotButton="0" quotePrefix="0" xfId="0"/>
    <xf numFmtId="0" fontId="0" fillId="7" borderId="9" pivotButton="0" quotePrefix="0" xfId="0"/>
    <xf numFmtId="0" fontId="0" fillId="8" borderId="9" pivotButton="0" quotePrefix="0" xfId="0"/>
    <xf numFmtId="4" fontId="1" fillId="8" borderId="0" pivotButton="0" quotePrefix="0" xfId="1"/>
    <xf numFmtId="4" fontId="1" fillId="0" borderId="0" pivotButton="0" quotePrefix="0" xfId="1"/>
    <xf numFmtId="4" fontId="1" fillId="0" borderId="9" pivotButton="0" quotePrefix="0" xfId="1"/>
    <xf numFmtId="4" fontId="1" fillId="8" borderId="9" pivotButton="0" quotePrefix="0" xfId="1"/>
    <xf numFmtId="0" fontId="7" fillId="0" borderId="10" applyAlignment="1" pivotButton="0" quotePrefix="0" xfId="0">
      <alignment horizontal="center" vertical="top"/>
    </xf>
    <xf numFmtId="164" fontId="1" fillId="0" borderId="0" pivotButton="0" quotePrefix="0" xfId="1"/>
    <xf numFmtId="0" fontId="1" fillId="0" borderId="0" pivotButton="0" quotePrefix="0" xfId="1"/>
    <xf numFmtId="0" fontId="9" fillId="0" borderId="0" pivotButton="0" quotePrefix="0" xfId="0"/>
    <xf numFmtId="0" fontId="7" fillId="0" borderId="11" applyAlignment="1" pivotButton="0" quotePrefix="0" xfId="0">
      <alignment horizontal="center" vertical="top"/>
    </xf>
    <xf numFmtId="0" fontId="10" fillId="0" borderId="12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dxfs count="82">
    <dxf>
      <numFmt numFmtId="4" formatCode="#,##0.00"/>
    </dxf>
    <dxf>
      <numFmt numFmtId="4" formatCode="#,##0.00"/>
    </dxf>
    <dxf>
      <numFmt numFmtId="0" formatCode="General"/>
    </dxf>
    <dxf>
      <numFmt numFmtId="164" formatCode="0.0%"/>
    </dxf>
    <dxf>
      <numFmt numFmtId="4" formatCode="#,##0.00"/>
      <alignment horizontal="general" vertical="center" wrapText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4" formatCode="0.0%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alignment horizontal="general" vertical="center" wrapText="1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 wrapText="1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border outline="0">
        <top style="thin">
          <color theme="4" tint="0.3999755851924192"/>
        </top>
      </border>
    </dxf>
    <dxf>
      <border outline="0"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border outline="0">
        <top style="thin">
          <color theme="4" tint="0.3999755851924192"/>
        </top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border outline="0"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baglass-my.sharepoint.com/personal/ines_meira_baglass_com/Documents/Ambiente%20de%20Trabalho/Dashboard/Dashboard/statistic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Export"/>
      <sheetName val="Price"/>
    </sheetNames>
    <sheetDataSet>
      <sheetData sheetId="0">
        <row r="5">
          <cell r="A5" t="str">
            <v>Sum of Tonnes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id="1" name="Table7" displayName="Table7" ref="A1:K47" headerRowCount="1" totalsRowShown="0">
  <autoFilter ref="A1:K47"/>
  <tableColumns count="11">
    <tableColumn id="1" name="Harvest Period"/>
    <tableColumn id="6" name="Country"/>
    <tableColumn id="2" name="Consumption" dataDxfId="8">
      <calculatedColumnFormula>525.7*1000</calculatedColumnFormula>
    </tableColumn>
    <tableColumn id="3" name="Production" dataDxfId="7">
      <calculatedColumnFormula>1789.9*1000</calculatedColumnFormula>
    </tableColumn>
    <tableColumn id="4" name="Exportation" dataDxfId="6">
      <calculatedColumnFormula>355.8*1000</calculatedColumnFormula>
    </tableColumn>
    <tableColumn id="5" name="Importation" dataDxfId="5">
      <calculatedColumnFormula>84*1000</calculatedColumnFormula>
    </tableColumn>
    <tableColumn id="12" name="Production_Olives" dataDxfId="4">
      <calculatedColumnFormula>591.1*1000</calculatedColumnFormula>
    </tableColumn>
    <tableColumn id="7" name="PIB" dataDxfId="3" dataCellStyle="Percent"/>
    <tableColumn id="8" name="Inflation" dataDxfId="2" dataCellStyle="Percent"/>
    <tableColumn id="9" name="PriceAVG" dataDxfId="1"/>
    <tableColumn id="10" name="Precipitation (mm)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D29" headerRowCount="1" totalsRowShown="0" headerRowDxfId="81" headerRowBorderDxfId="80" tableBorderDxfId="79" totalsRowBorderDxfId="78">
  <autoFilter ref="A1:D29"/>
  <tableColumns count="4">
    <tableColumn id="3" name="Consumption" dataDxfId="77"/>
    <tableColumn id="4" name="Min" dataDxfId="76">
      <calculatedColumnFormula>MIN(Table2[Consumption])</calculatedColumnFormula>
    </tableColumn>
    <tableColumn id="16" name="Max" dataDxfId="75">
      <calculatedColumnFormula>MAX(Table2[Consumption])</calculatedColumnFormula>
    </tableColumn>
    <tableColumn id="17" name="Consumption_N" dataDxfId="74">
      <calculatedColumnFormula>(Table2[[#This Row],[Consumption]]-Table2[[#This Row],[Min]])/(Table2[[#This Row],[Max]]-Table2[[#This Row],[Min]])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F1:I29" headerRowCount="1" totalsRowShown="0" headerRowDxfId="73" dataDxfId="71" headerRowBorderDxfId="72" tableBorderDxfId="70" totalsRowBorderDxfId="69">
  <autoFilter ref="F1:I29"/>
  <tableColumns count="4">
    <tableColumn id="1" name="Production" dataDxfId="68"/>
    <tableColumn id="2" name="Min" dataDxfId="67">
      <calculatedColumnFormula>MIN(Table3[Production])</calculatedColumnFormula>
    </tableColumn>
    <tableColumn id="3" name="Max" dataDxfId="66">
      <calculatedColumnFormula>MAX(Table3[Production])</calculatedColumnFormula>
    </tableColumn>
    <tableColumn id="4" name="Production_N" dataDxfId="65">
      <calculatedColumnFormula>(Table3[[#This Row],[Production]]-Table3[[#This Row],[Min]])/(Table3[[#This Row],[Max]]-Table3[[#This Row],[Min]])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K1:N29" headerRowCount="1" totalsRowShown="0" headerRowDxfId="64" dataDxfId="62" headerRowBorderDxfId="63">
  <autoFilter ref="K1:N29"/>
  <tableColumns count="4">
    <tableColumn id="1" name="Exportation" dataDxfId="61"/>
    <tableColumn id="2" name="Min" dataDxfId="60">
      <calculatedColumnFormula>MIN(Table4[Exportation])</calculatedColumnFormula>
    </tableColumn>
    <tableColumn id="3" name="Max" dataDxfId="59">
      <calculatedColumnFormula>MAX(Table4[Exportation])</calculatedColumnFormula>
    </tableColumn>
    <tableColumn id="4" name="Exportation_N" dataDxfId="58">
      <calculatedColumnFormula>(Table4[[#This Row],[Exportation]]-Table4[[#This Row],[Min]])/(Table4[[#This Row],[Max]]-Table4[[#This Row],[Min]])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P1:T29" headerRowCount="1" totalsRowShown="0" headerRowDxfId="57" dataDxfId="55" headerRowBorderDxfId="56">
  <autoFilter ref="P1:T29"/>
  <tableColumns count="5">
    <tableColumn id="1" name="Importation" dataDxfId="54"/>
    <tableColumn id="2" name="Min" dataDxfId="53">
      <calculatedColumnFormula>MIN(Table5[Importation])</calculatedColumnFormula>
    </tableColumn>
    <tableColumn id="3" name="Max" dataDxfId="52">
      <calculatedColumnFormula>MAX(Table5[Importation])</calculatedColumnFormula>
    </tableColumn>
    <tableColumn id="4" name="Importation_N" dataDxfId="51">
      <calculatedColumnFormula>(Table5[[#This Row],[Importation]]-Table5[[#This Row],[Min]])/(Table5[[#This Row],[Max]]-Table5[[#This Row],[Min]])</calculatedColumnFormula>
    </tableColumn>
    <tableColumn id="5" name="Importation_N_Inversion" dataDxfId="50">
      <calculatedColumnFormula>1-Table5[[#This Row],[Importation_N]]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V1:Y29" headerRowCount="1" totalsRowShown="0" headerRowDxfId="49" dataDxfId="47" headerRowBorderDxfId="48">
  <autoFilter ref="V1:Y29"/>
  <tableColumns count="4">
    <tableColumn id="1" name="Production_Olives" dataDxfId="46"/>
    <tableColumn id="2" name="Min" dataDxfId="45">
      <calculatedColumnFormula>MIN(Table6[Production_Olives])</calculatedColumnFormula>
    </tableColumn>
    <tableColumn id="3" name="Max" dataDxfId="44">
      <calculatedColumnFormula>MAX(Table6[Production_Olives])</calculatedColumnFormula>
    </tableColumn>
    <tableColumn id="4" name="OO_N" dataDxfId="43">
      <calculatedColumnFormula>(Table6[[#This Row],[Production_Olives]]-Table6[[#This Row],[Min]])/(Table6[[#This Row],[Max]]-Table6[[#This Row],[Min]])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8" displayName="Table8" ref="AA1:AD29" headerRowCount="1" totalsRowShown="0" headerRowDxfId="42" dataDxfId="40" headerRowBorderDxfId="41" headerRowCellStyle="Percent" dataCellStyle="Percent">
  <autoFilter ref="AA1:AD29"/>
  <tableColumns count="4">
    <tableColumn id="1" name="PIB" dataDxfId="39" dataCellStyle="Percent"/>
    <tableColumn id="2" name="Min" dataDxfId="38" dataCellStyle="Percent">
      <calculatedColumnFormula>MIN(Table8[PIB])</calculatedColumnFormula>
    </tableColumn>
    <tableColumn id="3" name="Max" dataDxfId="37" dataCellStyle="Percent">
      <calculatedColumnFormula>MAX(Table8[PIB])</calculatedColumnFormula>
    </tableColumn>
    <tableColumn id="4" name="PIB_N" dataDxfId="36" dataCellStyle="Percent">
      <calculatedColumnFormula>(Table8[[#This Row],[PIB]]-Table8[[#This Row],[Min]])/(Table8[[#This Row],[Max]]-Table8[[#This Row],[Min]])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9" displayName="Table9" ref="AF1:AJ29" headerRowCount="1" totalsRowShown="0" headerRowDxfId="35" dataDxfId="33" headerRowBorderDxfId="34" dataCellStyle="Percent">
  <autoFilter ref="AF1:AJ29"/>
  <tableColumns count="5">
    <tableColumn id="1" name="Inflation" dataDxfId="32" dataCellStyle="Percent"/>
    <tableColumn id="2" name="Min" dataDxfId="31" dataCellStyle="Percent">
      <calculatedColumnFormula>MIN(Table9[Inflation])</calculatedColumnFormula>
    </tableColumn>
    <tableColumn id="3" name="Max" dataDxfId="30" dataCellStyle="Percent">
      <calculatedColumnFormula>MAX(Table9[Inflation])</calculatedColumnFormula>
    </tableColumn>
    <tableColumn id="4" name="Inflation_N" dataDxfId="29" dataCellStyle="Percent">
      <calculatedColumnFormula>(Table9[[#This Row],[Inflation]]-Table9[[#This Row],[Min]])/(Table9[[#This Row],[Max]]-Table9[[#This Row],[Min]])</calculatedColumnFormula>
    </tableColumn>
    <tableColumn id="5" name="Inflation_N_Inversion" dataDxfId="28" dataCellStyle="Percent">
      <calculatedColumnFormula>1-Table9[[#This Row],[Inflation_N]]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e10" displayName="Table10" ref="AL1:AP29" headerRowCount="1" totalsRowShown="0" headerRowDxfId="27" dataDxfId="25" headerRowBorderDxfId="26">
  <autoFilter ref="AL1:AP29"/>
  <tableColumns count="5">
    <tableColumn id="1" name="PriceAVG" dataDxfId="24"/>
    <tableColumn id="2" name="Min" dataDxfId="23">
      <calculatedColumnFormula>MIN(Table10[PriceAVG])</calculatedColumnFormula>
    </tableColumn>
    <tableColumn id="3" name="Max" dataDxfId="22">
      <calculatedColumnFormula>MAX(Table10[PriceAVG])</calculatedColumnFormula>
    </tableColumn>
    <tableColumn id="4" name="Inflation_N" dataDxfId="21">
      <calculatedColumnFormula>(Table10[[#This Row],[PriceAVG]]-Table10[[#This Row],[Min]])/(Table10[[#This Row],[Max]]-Table10[[#This Row],[Min]])</calculatedColumnFormula>
    </tableColumn>
    <tableColumn id="5" name="Inversion" dataDxfId="20">
      <calculatedColumnFormula>1-Table10[[#This Row],[Inflation_N]]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11" displayName="Table11" ref="AR1:AU29" headerRowCount="1" totalsRowShown="0" headerRowDxfId="19" dataDxfId="17" headerRowBorderDxfId="18">
  <autoFilter ref="AR1:AU29"/>
  <tableColumns count="4">
    <tableColumn id="1" name="Precipitation (mm)" dataDxfId="16"/>
    <tableColumn id="2" name="Min" dataDxfId="15">
      <calculatedColumnFormula>MIN(Table11[Precipitation (mm)])</calculatedColumnFormula>
    </tableColumn>
    <tableColumn id="3" name="Max" dataDxfId="14">
      <calculatedColumnFormula>MAX(Table11[Precipitation (mm)])</calculatedColumnFormula>
    </tableColumn>
    <tableColumn id="4" name="Precipitation_N" dataDxfId="13">
      <calculatedColumnFormula>(Table11[[#This Row],[Precipitation (mm)]]-Table11[[#This Row],[Min]])/(Table11[[#This Row],[Max]]-Table11[[#This Row],[Min]])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e12" displayName="Table12" ref="C1:F29" headerRowCount="1" totalsRowShown="0">
  <autoFilter ref="C1:F29"/>
  <tableColumns count="4">
    <tableColumn id="1" name="Offer" dataDxfId="12">
      <calculatedColumnFormula>(Table3[[#This Row],[Production_N]]+Table6[[#This Row],[OO_N]]+Table4[[#This Row],[Exportation_N]])/3</calculatedColumnFormula>
    </tableColumn>
    <tableColumn id="2" name="Market" dataDxfId="11">
      <calculatedColumnFormula>(Table2[[#This Row],[Consumption_N]]+Table5[[#This Row],[Importation_N_Inversion]])/2</calculatedColumnFormula>
    </tableColumn>
    <tableColumn id="3" name="Climate" dataDxfId="10">
      <calculatedColumnFormula>Table11[[#This Row],[Precipitation_N]]</calculatedColumnFormula>
    </tableColumn>
    <tableColumn id="4" name="Economic" dataDxfId="9">
      <calculatedColumnFormula>(Table8[[#This Row],[PIB_N]]+Table9[[#This Row],[Inflation_N_Inversion]])/2</calculatedColumnFormula>
    </tableColumn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Table13" displayName="Table13" ref="A1:B29" headerRowCount="1" totalsRowShown="0">
  <autoFilter ref="A1:B29"/>
  <tableColumns count="2">
    <tableColumn id="1" name="Harvest Period"/>
    <tableColumn id="2" name="Country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Table14" displayName="Table14" ref="A32:B35" headerRowCount="1" totalsRowShown="0">
  <autoFilter ref="A32:B35"/>
  <tableColumns count="2">
    <tableColumn id="1" name="Pesos Offer (%):"/>
    <tableColumn id="2" name="%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e15" displayName="Table15" ref="D32:E34" headerRowCount="1" totalsRowShown="0">
  <autoFilter ref="D32:E34"/>
  <tableColumns count="2">
    <tableColumn id="1" name="Pesos Market (%):"/>
    <tableColumn id="2" name="%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able16" displayName="Table16" ref="H32:I34" headerRowCount="1" totalsRowShown="0">
  <autoFilter ref="H32:I34"/>
  <tableColumns count="2">
    <tableColumn id="1" name="Pesos Economic (%):"/>
    <tableColumn id="2" name="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Relationship Type="http://schemas.openxmlformats.org/officeDocument/2006/relationships/table" Target="/xl/tables/table9.xml" Id="rId8" /><Relationship Type="http://schemas.openxmlformats.org/officeDocument/2006/relationships/table" Target="/xl/tables/table10.xml" Id="rId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table" Target="/xl/tables/table14.xml" Id="rId2" /><Relationship Type="http://schemas.openxmlformats.org/officeDocument/2006/relationships/table" Target="/xl/tables/table1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tabSelected="1" zoomScaleNormal="100" workbookViewId="0">
      <selection activeCell="M13" sqref="M13"/>
    </sheetView>
  </sheetViews>
  <sheetFormatPr baseColWidth="8" defaultRowHeight="14.4"/>
  <cols>
    <col width="15.5546875" bestFit="1" customWidth="1" min="1" max="1"/>
    <col width="10" bestFit="1" customWidth="1" min="2" max="2"/>
    <col width="14.5546875" bestFit="1" customWidth="1" min="3" max="3"/>
    <col width="16.21875" customWidth="1" min="4" max="4"/>
    <col width="13" bestFit="1" customWidth="1" min="5" max="5"/>
    <col width="13.33203125" bestFit="1" customWidth="1" min="6" max="6"/>
    <col width="18.6640625" bestFit="1" customWidth="1" min="7" max="7"/>
    <col width="7.6640625" bestFit="1" customWidth="1" style="3" min="8" max="8"/>
    <col width="10.33203125" bestFit="1" customWidth="1" min="9" max="9"/>
    <col width="11" bestFit="1" customWidth="1" min="10" max="10"/>
    <col width="13.88671875" bestFit="1" customWidth="1" min="11" max="11"/>
  </cols>
  <sheetData>
    <row r="1">
      <c r="A1" t="inlineStr">
        <is>
          <t>Harvest Period</t>
        </is>
      </c>
      <c r="B1" t="inlineStr">
        <is>
          <t>Country</t>
        </is>
      </c>
      <c r="C1" t="inlineStr">
        <is>
          <t>Consumption</t>
        </is>
      </c>
      <c r="D1" t="inlineStr">
        <is>
          <t>Production</t>
        </is>
      </c>
      <c r="E1" t="inlineStr">
        <is>
          <t>Exportation</t>
        </is>
      </c>
      <c r="F1" t="inlineStr">
        <is>
          <t>Importation</t>
        </is>
      </c>
      <c r="G1" t="inlineStr">
        <is>
          <t>Production_Olives</t>
        </is>
      </c>
      <c r="H1" s="7" t="inlineStr">
        <is>
          <t>PIB</t>
        </is>
      </c>
      <c r="I1" t="inlineStr">
        <is>
          <t>Inflation</t>
        </is>
      </c>
      <c r="J1" t="inlineStr">
        <is>
          <t>PriceAVG</t>
        </is>
      </c>
      <c r="K1" t="inlineStr">
        <is>
          <t>Precipitation (mm)</t>
        </is>
      </c>
    </row>
    <row r="2">
      <c r="A2" t="inlineStr">
        <is>
          <t>2018/2019</t>
        </is>
      </c>
      <c r="B2" t="inlineStr">
        <is>
          <t>Spain</t>
        </is>
      </c>
      <c r="C2">
        <f>525.7*1000</f>
        <v/>
      </c>
      <c r="D2">
        <f>1789.9*1000</f>
        <v/>
      </c>
      <c r="E2">
        <f>355.8*1000</f>
        <v/>
      </c>
      <c r="F2">
        <f>84*1000</f>
        <v/>
      </c>
      <c r="G2">
        <f>591.1*1000</f>
        <v/>
      </c>
      <c r="H2" s="2" t="n">
        <v>0.024</v>
      </c>
      <c r="I2" s="2" t="n">
        <v>0.017</v>
      </c>
      <c r="J2" s="1" t="n">
        <v>245.3007719886635</v>
      </c>
      <c r="K2" t="n">
        <v>828.26</v>
      </c>
      <c r="O2" s="66" t="n">
        <v>1000</v>
      </c>
    </row>
    <row r="3">
      <c r="A3" t="inlineStr">
        <is>
          <t>2019/2020</t>
        </is>
      </c>
      <c r="B3" t="inlineStr">
        <is>
          <t>Spain</t>
        </is>
      </c>
      <c r="C3">
        <f>518.6*1000</f>
        <v/>
      </c>
      <c r="D3">
        <f>1125.3*1000</f>
        <v/>
      </c>
      <c r="E3">
        <f>420.7*1000</f>
        <v/>
      </c>
      <c r="F3">
        <f>151.9*1000</f>
        <v/>
      </c>
      <c r="G3" s="22">
        <f>458.2*1000</f>
        <v/>
      </c>
      <c r="H3" s="2" t="n">
        <v>0.02</v>
      </c>
      <c r="I3" s="2" t="n">
        <v>0.007</v>
      </c>
      <c r="J3" s="1" t="n">
        <v>184.9668501610679</v>
      </c>
      <c r="K3" t="n">
        <v>620.4400000000001</v>
      </c>
    </row>
    <row r="4">
      <c r="A4" t="inlineStr">
        <is>
          <t>2020/2021</t>
        </is>
      </c>
      <c r="B4" t="inlineStr">
        <is>
          <t>Spain</t>
        </is>
      </c>
      <c r="C4">
        <f>541.1*1000</f>
        <v/>
      </c>
      <c r="D4">
        <f>1389*1000</f>
        <v/>
      </c>
      <c r="E4">
        <f>464.6*1000</f>
        <v/>
      </c>
      <c r="F4">
        <f>100.7*1000</f>
        <v/>
      </c>
      <c r="G4">
        <f>546.3*1000</f>
        <v/>
      </c>
      <c r="H4" s="2" t="n">
        <v>-0.03</v>
      </c>
      <c r="I4" s="2" t="n">
        <v>-0.003</v>
      </c>
      <c r="J4" s="1" t="n">
        <v>164.1204356189602</v>
      </c>
      <c r="K4" t="n">
        <v>675.41</v>
      </c>
      <c r="M4" s="1" t="n"/>
      <c r="N4" s="1" t="n"/>
      <c r="O4" s="1" t="n"/>
      <c r="P4" s="1" t="n"/>
      <c r="Q4" s="1" t="n"/>
      <c r="R4" s="1" t="n"/>
      <c r="S4" s="1" t="n"/>
    </row>
    <row r="5">
      <c r="A5" t="inlineStr">
        <is>
          <t>2021/2022</t>
        </is>
      </c>
      <c r="B5" t="inlineStr">
        <is>
          <t>Spain</t>
        </is>
      </c>
      <c r="C5">
        <f>579.9*1000</f>
        <v/>
      </c>
      <c r="D5">
        <f>1493*1000</f>
        <v/>
      </c>
      <c r="E5">
        <f>468.1*1000</f>
        <v/>
      </c>
      <c r="F5">
        <f>85.6*1000</f>
        <v/>
      </c>
      <c r="G5">
        <f>659.3*1000</f>
        <v/>
      </c>
      <c r="H5" s="2" t="n">
        <v>0.051</v>
      </c>
      <c r="I5" s="13" t="n">
        <v>0.031</v>
      </c>
      <c r="J5" s="1" t="n">
        <v>253.7559459459457</v>
      </c>
      <c r="K5" t="n">
        <v>661.64</v>
      </c>
    </row>
    <row r="6">
      <c r="A6" t="inlineStr">
        <is>
          <t>2022/2023</t>
        </is>
      </c>
      <c r="B6" t="inlineStr">
        <is>
          <t>Spain</t>
        </is>
      </c>
      <c r="C6">
        <f>363.2*1000</f>
        <v/>
      </c>
      <c r="D6">
        <f>665.8*1000</f>
        <v/>
      </c>
      <c r="E6">
        <f>316.5*1000</f>
        <v/>
      </c>
      <c r="F6">
        <f>97.8*1000</f>
        <v/>
      </c>
      <c r="G6">
        <f>414.1*1000</f>
        <v/>
      </c>
      <c r="H6" s="2" t="n">
        <v>0.055</v>
      </c>
      <c r="I6" s="12" t="n">
        <v>0.08400000000000001</v>
      </c>
      <c r="J6" s="1" t="n">
        <v>341.3670419161679</v>
      </c>
      <c r="K6" t="n">
        <v>638.66</v>
      </c>
      <c r="M6" s="1" t="n"/>
      <c r="N6" s="1" t="n"/>
      <c r="O6" s="1" t="n"/>
      <c r="P6" s="1" t="n"/>
      <c r="Q6" s="1" t="n"/>
      <c r="R6" s="1" t="n"/>
    </row>
    <row r="7">
      <c r="A7" t="inlineStr">
        <is>
          <t>2023/2024</t>
        </is>
      </c>
      <c r="B7" t="inlineStr">
        <is>
          <t>Spain</t>
        </is>
      </c>
      <c r="C7">
        <f>402.3*1000</f>
        <v/>
      </c>
      <c r="D7">
        <f>854*1000</f>
        <v/>
      </c>
      <c r="E7">
        <f>332.4*1000</f>
        <v/>
      </c>
      <c r="F7">
        <f>108.6*1000</f>
        <v/>
      </c>
      <c r="G7">
        <f>407.4*1000</f>
        <v/>
      </c>
      <c r="H7" s="2" t="n">
        <v>0.028</v>
      </c>
      <c r="I7" s="13" t="n">
        <v>0.035</v>
      </c>
      <c r="J7" s="1" t="n">
        <v>561.969357311321</v>
      </c>
      <c r="K7" t="n">
        <v>582.9</v>
      </c>
      <c r="N7" s="1" t="n"/>
      <c r="O7" s="1" t="n"/>
      <c r="P7" s="1" t="n"/>
      <c r="Q7" s="1" t="n"/>
      <c r="R7" s="1" t="n"/>
      <c r="S7" s="1" t="n"/>
      <c r="T7" s="1" t="n"/>
    </row>
    <row r="8">
      <c r="A8" t="inlineStr">
        <is>
          <t>2024/2025</t>
        </is>
      </c>
      <c r="B8" t="inlineStr">
        <is>
          <t>Spain</t>
        </is>
      </c>
      <c r="C8">
        <f>460*1000</f>
        <v/>
      </c>
      <c r="D8">
        <f>1289.9*1000</f>
        <v/>
      </c>
      <c r="E8">
        <f>415.5*1000</f>
        <v/>
      </c>
      <c r="F8">
        <f>92.8*1000</f>
        <v/>
      </c>
      <c r="G8">
        <f>468.3*1000</f>
        <v/>
      </c>
      <c r="H8" s="2" t="n">
        <v>0.032</v>
      </c>
      <c r="I8" s="12" t="n">
        <v>0.028</v>
      </c>
      <c r="J8" s="1" t="n">
        <v>630.1010757211538</v>
      </c>
      <c r="K8" t="n">
        <v>705.35</v>
      </c>
      <c r="N8" s="1" t="n"/>
      <c r="O8" s="1" t="n"/>
      <c r="P8" s="1" t="n"/>
      <c r="Q8" s="1" t="n"/>
      <c r="R8" s="1" t="n"/>
      <c r="S8" s="1" t="n"/>
      <c r="T8" s="1" t="n"/>
    </row>
    <row r="9" hidden="1">
      <c r="A9" s="4" t="inlineStr">
        <is>
          <t>2025/2026</t>
        </is>
      </c>
      <c r="B9" s="4" t="inlineStr">
        <is>
          <t>Spain</t>
        </is>
      </c>
      <c r="C9" s="4" t="n"/>
      <c r="D9" s="4" t="n"/>
      <c r="E9" s="4" t="n"/>
      <c r="F9" s="4" t="n"/>
      <c r="G9" s="4" t="n"/>
      <c r="H9" s="6" t="n"/>
      <c r="I9" s="14" t="n"/>
      <c r="J9" s="5" t="n">
        <v>341.5579363207547</v>
      </c>
      <c r="K9" s="4" t="n"/>
      <c r="N9" s="1" t="n"/>
      <c r="O9" s="1" t="n"/>
      <c r="P9" s="1" t="n"/>
      <c r="Q9" s="1" t="n"/>
      <c r="R9" s="1" t="n"/>
      <c r="S9" s="1" t="n"/>
      <c r="T9" s="1" t="n"/>
    </row>
    <row r="10">
      <c r="A10" t="inlineStr">
        <is>
          <t>2018/2019</t>
        </is>
      </c>
      <c r="B10" t="inlineStr">
        <is>
          <t>Portugal</t>
        </is>
      </c>
      <c r="C10">
        <f>54.4*1000</f>
        <v/>
      </c>
      <c r="D10">
        <f>100.3*1000</f>
        <v/>
      </c>
      <c r="E10">
        <f>64.9*1000</f>
        <v/>
      </c>
      <c r="F10">
        <f>0.7*1000</f>
        <v/>
      </c>
      <c r="G10" s="22">
        <f>22.5*1000</f>
        <v/>
      </c>
      <c r="H10" s="2" t="n">
        <v>0.029</v>
      </c>
      <c r="I10" s="13" t="n">
        <v>0.01</v>
      </c>
      <c r="J10" s="1" t="n">
        <v>309.5344827586207</v>
      </c>
      <c r="K10" t="n">
        <v>886.88</v>
      </c>
      <c r="N10" s="1" t="n"/>
      <c r="O10" s="1" t="n"/>
      <c r="P10" s="1" t="n"/>
      <c r="Q10" s="1" t="n"/>
      <c r="R10" s="1" t="n"/>
      <c r="S10" s="1" t="n"/>
      <c r="T10" s="1" t="n"/>
    </row>
    <row r="11">
      <c r="A11" t="inlineStr">
        <is>
          <t>2019/2020</t>
        </is>
      </c>
      <c r="B11" t="inlineStr">
        <is>
          <t>Portugal</t>
        </is>
      </c>
      <c r="C11">
        <f>71.6*1000</f>
        <v/>
      </c>
      <c r="D11">
        <f>140.5*1000</f>
        <v/>
      </c>
      <c r="E11">
        <f>80.2*1000</f>
        <v/>
      </c>
      <c r="F11">
        <f>2.3*1000</f>
        <v/>
      </c>
      <c r="G11" s="22">
        <f>24.7*1000</f>
        <v/>
      </c>
      <c r="H11" s="2" t="n">
        <v>0.027</v>
      </c>
      <c r="I11" s="12" t="n">
        <v>0.003</v>
      </c>
      <c r="J11" s="1" t="n">
        <v>270.4256756756757</v>
      </c>
      <c r="K11" t="n">
        <v>703.53</v>
      </c>
    </row>
    <row r="12">
      <c r="A12" t="inlineStr">
        <is>
          <t>2020/2021</t>
        </is>
      </c>
      <c r="B12" t="inlineStr">
        <is>
          <t>Portugal</t>
        </is>
      </c>
      <c r="C12">
        <f>61.8*1000</f>
        <v/>
      </c>
      <c r="D12">
        <f>100*1000</f>
        <v/>
      </c>
      <c r="E12">
        <f>76.1*1000</f>
        <v/>
      </c>
      <c r="F12">
        <f>0.4*1000</f>
        <v/>
      </c>
      <c r="G12" s="22">
        <f>15.6*1000</f>
        <v/>
      </c>
      <c r="H12" s="2" t="n">
        <v>-0.082</v>
      </c>
      <c r="I12" s="13" t="n">
        <v>0</v>
      </c>
      <c r="J12" s="1" t="n">
        <v>239.9397590361446</v>
      </c>
      <c r="K12" t="n">
        <v>710.88</v>
      </c>
      <c r="L12" s="1" t="n"/>
      <c r="M12" s="1" t="n"/>
      <c r="N12" s="1" t="n"/>
      <c r="O12" s="1" t="n"/>
      <c r="P12" s="1" t="n"/>
      <c r="Q12" s="1" t="n"/>
      <c r="R12" s="1" t="n"/>
      <c r="S12" s="1" t="n"/>
    </row>
    <row r="13">
      <c r="A13" t="inlineStr">
        <is>
          <t>2021/2022</t>
        </is>
      </c>
      <c r="B13" t="inlineStr">
        <is>
          <t>Portugal</t>
        </is>
      </c>
      <c r="C13">
        <f>59.3*1000</f>
        <v/>
      </c>
      <c r="D13">
        <f>206.2*1000</f>
        <v/>
      </c>
      <c r="E13">
        <f>72.7*1000</f>
        <v/>
      </c>
      <c r="F13">
        <f>0*1000</f>
        <v/>
      </c>
      <c r="G13" s="22">
        <f>25.5*1000</f>
        <v/>
      </c>
      <c r="H13" s="2" t="n">
        <v>0.056</v>
      </c>
      <c r="I13" s="12" t="n">
        <v>0.013</v>
      </c>
      <c r="J13" s="1" t="n">
        <v>294.6031801526717</v>
      </c>
      <c r="K13" t="n">
        <v>734.05</v>
      </c>
      <c r="M13" s="1" t="n"/>
      <c r="N13" s="1" t="n"/>
      <c r="O13" s="1" t="n"/>
      <c r="P13" s="1" t="n"/>
      <c r="Q13" s="1" t="n"/>
      <c r="R13" s="1" t="n"/>
      <c r="S13" s="1" t="n"/>
    </row>
    <row r="14">
      <c r="A14" t="inlineStr">
        <is>
          <t>2022/2023</t>
        </is>
      </c>
      <c r="B14" t="inlineStr">
        <is>
          <t>Portugal</t>
        </is>
      </c>
      <c r="C14">
        <f>39.1*1000</f>
        <v/>
      </c>
      <c r="D14">
        <f>126*1000</f>
        <v/>
      </c>
      <c r="E14">
        <f>59*1000</f>
        <v/>
      </c>
      <c r="F14">
        <f>2.3*1000</f>
        <v/>
      </c>
      <c r="G14" s="22">
        <f>16.9*1000</f>
        <v/>
      </c>
      <c r="H14" s="2" t="n">
        <v>0.07000000000000001</v>
      </c>
      <c r="I14" s="13" t="n">
        <v>0.078</v>
      </c>
      <c r="J14" s="1" t="n">
        <v>336.48511875</v>
      </c>
      <c r="K14" t="inlineStr">
        <is>
          <t>o</t>
        </is>
      </c>
      <c r="M14" s="1" t="n"/>
      <c r="N14" s="1" t="n"/>
      <c r="O14" s="1" t="n"/>
      <c r="P14" s="1" t="n"/>
      <c r="Q14" s="1" t="n"/>
      <c r="R14" s="1" t="n"/>
      <c r="S14" s="1" t="n"/>
    </row>
    <row r="15">
      <c r="A15" t="inlineStr">
        <is>
          <t>2023/2024</t>
        </is>
      </c>
      <c r="B15" t="inlineStr">
        <is>
          <t>Portugal</t>
        </is>
      </c>
      <c r="C15">
        <f>60.9*1000</f>
        <v/>
      </c>
      <c r="D15">
        <f>160.9*1000</f>
        <v/>
      </c>
      <c r="E15">
        <f>55.1*1000</f>
        <v/>
      </c>
      <c r="F15">
        <f>11.5*1000</f>
        <v/>
      </c>
      <c r="G15" s="22">
        <f>19.7*1000</f>
        <v/>
      </c>
      <c r="H15" s="2" t="n">
        <v>0.026</v>
      </c>
      <c r="I15" s="12" t="n">
        <v>0.043</v>
      </c>
      <c r="J15" s="1" t="n">
        <v>589.7307679487179</v>
      </c>
      <c r="K15" t="n">
        <v>721.1</v>
      </c>
      <c r="M15" s="1" t="n"/>
      <c r="N15" s="1" t="n"/>
      <c r="O15" s="1" t="n"/>
      <c r="P15" s="1" t="n"/>
      <c r="Q15" s="1" t="n"/>
      <c r="R15" s="1" t="n"/>
      <c r="S15" s="1" t="n"/>
    </row>
    <row r="16">
      <c r="A16" t="inlineStr">
        <is>
          <t>2024/2025</t>
        </is>
      </c>
      <c r="B16" t="inlineStr">
        <is>
          <t>Portugal</t>
        </is>
      </c>
      <c r="C16">
        <f>72.4*1000</f>
        <v/>
      </c>
      <c r="D16">
        <f>195*1000</f>
        <v/>
      </c>
      <c r="E16">
        <f>60*1000</f>
        <v/>
      </c>
      <c r="F16">
        <f>13.7*1000</f>
        <v/>
      </c>
      <c r="G16" s="22">
        <f>21*1000</f>
        <v/>
      </c>
      <c r="H16" s="2" t="n">
        <v>0.019</v>
      </c>
      <c r="I16" s="13" t="n">
        <v>0.024</v>
      </c>
      <c r="J16" s="1" t="n">
        <v>840.9842519685039</v>
      </c>
      <c r="K16" t="n">
        <v>774.13</v>
      </c>
      <c r="N16" s="1" t="n"/>
      <c r="O16" s="1" t="n"/>
      <c r="P16" s="1" t="n"/>
      <c r="Q16" s="1" t="n"/>
      <c r="R16" s="1" t="n"/>
      <c r="S16" s="1" t="n"/>
      <c r="T16" s="1" t="n"/>
    </row>
    <row r="17" hidden="1">
      <c r="A17" s="4" t="inlineStr">
        <is>
          <t>2025/2026</t>
        </is>
      </c>
      <c r="B17" s="4" t="inlineStr">
        <is>
          <t>Portugal</t>
        </is>
      </c>
      <c r="C17" s="4" t="n"/>
      <c r="D17" s="4" t="n"/>
      <c r="E17" s="4" t="n"/>
      <c r="F17" s="4" t="n"/>
      <c r="G17" s="23" t="n"/>
      <c r="H17" s="11" t="n"/>
      <c r="I17" s="14" t="n"/>
      <c r="J17" s="5" t="n">
        <v>587.4015748031496</v>
      </c>
      <c r="K17" s="4" t="n"/>
      <c r="N17" s="1" t="n"/>
      <c r="O17" s="1" t="n"/>
      <c r="P17" s="1" t="n"/>
      <c r="Q17" s="1" t="n"/>
      <c r="R17" s="1" t="n"/>
      <c r="S17" s="1" t="n"/>
      <c r="T17" s="1" t="n"/>
    </row>
    <row r="18">
      <c r="A18" t="inlineStr">
        <is>
          <t>2018/2019</t>
        </is>
      </c>
      <c r="B18" t="inlineStr">
        <is>
          <t>Greece</t>
        </is>
      </c>
      <c r="C18">
        <f>120*100</f>
        <v/>
      </c>
      <c r="D18">
        <f>185*1000</f>
        <v/>
      </c>
      <c r="E18">
        <f>20.2*1000</f>
        <v/>
      </c>
      <c r="F18">
        <f>0*1000</f>
        <v/>
      </c>
      <c r="G18" s="22">
        <f>199*1000</f>
        <v/>
      </c>
      <c r="H18" s="2" t="n">
        <v>0.021</v>
      </c>
      <c r="I18" s="12" t="n">
        <v>0.006</v>
      </c>
      <c r="J18" s="1" t="n">
        <v>269.2549693251534</v>
      </c>
      <c r="K18" t="n">
        <v>913.35</v>
      </c>
      <c r="N18" s="1" t="n"/>
      <c r="O18" s="1" t="n"/>
      <c r="P18" s="1" t="n"/>
      <c r="Q18" s="1" t="n"/>
      <c r="R18" s="1" t="n"/>
      <c r="S18" s="1" t="n"/>
      <c r="T18" s="1" t="n"/>
    </row>
    <row r="19">
      <c r="A19" t="inlineStr">
        <is>
          <t>2019/2020</t>
        </is>
      </c>
      <c r="B19" t="inlineStr">
        <is>
          <t>Greece</t>
        </is>
      </c>
      <c r="C19">
        <f>114.3*1000</f>
        <v/>
      </c>
      <c r="D19">
        <f>275*1000</f>
        <v/>
      </c>
      <c r="E19">
        <f>20.8*1000</f>
        <v/>
      </c>
      <c r="F19">
        <f>0*1000</f>
        <v/>
      </c>
      <c r="G19" s="22">
        <f>222*1000</f>
        <v/>
      </c>
      <c r="H19" s="2" t="n">
        <v>0.023</v>
      </c>
      <c r="I19" s="13" t="n">
        <v>0.003</v>
      </c>
      <c r="J19" s="1" t="n">
        <v>229.4070006269592</v>
      </c>
      <c r="K19" t="n">
        <v>872.4299999999999</v>
      </c>
      <c r="N19" s="1" t="n"/>
      <c r="O19" s="1" t="n"/>
      <c r="P19" s="1" t="n"/>
      <c r="Q19" s="1" t="n"/>
      <c r="R19" s="1" t="n"/>
      <c r="S19" s="1" t="n"/>
      <c r="T19" s="1" t="n"/>
    </row>
    <row r="20">
      <c r="A20" t="inlineStr">
        <is>
          <t>2020/2021</t>
        </is>
      </c>
      <c r="B20" t="inlineStr">
        <is>
          <t>Greece</t>
        </is>
      </c>
      <c r="C20">
        <f>108.6*1000</f>
        <v/>
      </c>
      <c r="D20">
        <f>275*1000</f>
        <v/>
      </c>
      <c r="E20">
        <f>24.5*1000</f>
        <v/>
      </c>
      <c r="F20">
        <f>0.1*1000</f>
        <v/>
      </c>
      <c r="G20" s="22">
        <f>230*1000</f>
        <v/>
      </c>
      <c r="H20" s="2" t="n">
        <v>-0.092</v>
      </c>
      <c r="I20" s="12" t="n">
        <v>-0.012</v>
      </c>
      <c r="J20" s="1" t="n">
        <v>177.3695252059308</v>
      </c>
      <c r="K20" t="n">
        <v>722.42</v>
      </c>
      <c r="M20" s="1" t="n"/>
      <c r="N20" s="1" t="n"/>
      <c r="O20" s="1" t="n"/>
      <c r="P20" s="1" t="n"/>
      <c r="Q20" s="1" t="n"/>
      <c r="R20" s="1" t="n"/>
    </row>
    <row r="21">
      <c r="A21" t="inlineStr">
        <is>
          <t>2021/2022</t>
        </is>
      </c>
      <c r="B21" t="inlineStr">
        <is>
          <t>Greece</t>
        </is>
      </c>
      <c r="C21">
        <f>105.5*1000</f>
        <v/>
      </c>
      <c r="D21">
        <f>232*1000</f>
        <v/>
      </c>
      <c r="E21">
        <f>24.5*1000</f>
        <v/>
      </c>
      <c r="F21">
        <f>0*1000</f>
        <v/>
      </c>
      <c r="G21" s="22">
        <f>175*1000</f>
        <v/>
      </c>
      <c r="H21" s="2" t="n">
        <v>0.08699999999999999</v>
      </c>
      <c r="I21" s="13" t="n">
        <v>0.012</v>
      </c>
      <c r="J21" s="1" t="n">
        <v>260.5705895121952</v>
      </c>
      <c r="K21" t="n">
        <v>900.71</v>
      </c>
    </row>
    <row r="22">
      <c r="A22" t="inlineStr">
        <is>
          <t>2022/2023</t>
        </is>
      </c>
      <c r="B22" t="inlineStr">
        <is>
          <t>Greece</t>
        </is>
      </c>
      <c r="C22">
        <f>96.5*1000</f>
        <v/>
      </c>
      <c r="D22">
        <f>345*1000</f>
        <v/>
      </c>
      <c r="E22">
        <f>23.3*1000</f>
        <v/>
      </c>
      <c r="F22">
        <f>0.2*1000</f>
        <v/>
      </c>
      <c r="G22" s="22">
        <f>325*1000</f>
        <v/>
      </c>
      <c r="H22" s="2" t="n">
        <v>0.055</v>
      </c>
      <c r="I22" s="12" t="n">
        <v>0.096</v>
      </c>
      <c r="J22" s="1" t="n">
        <v>312.265616302187</v>
      </c>
      <c r="K22" t="n">
        <v>749.6</v>
      </c>
    </row>
    <row r="23">
      <c r="A23" t="inlineStr">
        <is>
          <t>2023/2024</t>
        </is>
      </c>
      <c r="B23" t="inlineStr">
        <is>
          <t>Greece</t>
        </is>
      </c>
      <c r="C23">
        <f>90.5*1000</f>
        <v/>
      </c>
      <c r="D23">
        <f>175*1000</f>
        <v/>
      </c>
      <c r="E23">
        <f>19.6*1000</f>
        <v/>
      </c>
      <c r="F23">
        <f>0.3*1000</f>
        <v/>
      </c>
      <c r="G23" s="22">
        <f>110*1000</f>
        <v/>
      </c>
      <c r="H23" s="2" t="n">
        <v>0.021</v>
      </c>
      <c r="I23" s="13" t="n">
        <v>0.035</v>
      </c>
      <c r="J23" s="1" t="n">
        <v>549.1366097323603</v>
      </c>
      <c r="K23" t="n">
        <v>838.6799999999999</v>
      </c>
    </row>
    <row r="24">
      <c r="A24" t="inlineStr">
        <is>
          <t>2024/2025</t>
        </is>
      </c>
      <c r="B24" t="inlineStr">
        <is>
          <t>Greece</t>
        </is>
      </c>
      <c r="C24">
        <f>110*1000</f>
        <v/>
      </c>
      <c r="D24">
        <f>250*1000</f>
        <v/>
      </c>
      <c r="E24">
        <f>20*1000</f>
        <v/>
      </c>
      <c r="F24">
        <f>0*1000</f>
        <v/>
      </c>
      <c r="G24" s="22">
        <f>238.5*1000</f>
        <v/>
      </c>
      <c r="H24" s="2" t="n">
        <v>0.021</v>
      </c>
      <c r="I24" s="12" t="n">
        <v>0.027</v>
      </c>
      <c r="J24" s="1" t="n">
        <v>652.3239278378377</v>
      </c>
      <c r="K24" t="n">
        <v>705.26</v>
      </c>
    </row>
    <row r="25" hidden="1">
      <c r="A25" s="4" t="inlineStr">
        <is>
          <t>2025/2026</t>
        </is>
      </c>
      <c r="B25" s="4" t="inlineStr">
        <is>
          <t>Greece</t>
        </is>
      </c>
      <c r="C25" s="4" t="n"/>
      <c r="D25" s="4" t="n"/>
      <c r="E25" s="4" t="n"/>
      <c r="F25" s="4" t="n"/>
      <c r="G25" s="23" t="n"/>
      <c r="H25" s="11" t="n"/>
      <c r="I25" s="14" t="n"/>
      <c r="J25" s="5" t="n">
        <v>387.3</v>
      </c>
      <c r="K25" s="4" t="n"/>
    </row>
    <row r="26">
      <c r="A26" t="inlineStr">
        <is>
          <t>2018/2019</t>
        </is>
      </c>
      <c r="B26" t="inlineStr">
        <is>
          <t>Italy</t>
        </is>
      </c>
      <c r="C26">
        <f>417.3*1000</f>
        <v/>
      </c>
      <c r="D26">
        <f>173.6*1000</f>
        <v/>
      </c>
      <c r="E26">
        <f>197*1000</f>
        <v/>
      </c>
      <c r="F26">
        <f>48.6*1000</f>
        <v/>
      </c>
      <c r="G26" s="22">
        <f>40*1000</f>
        <v/>
      </c>
      <c r="H26" s="2" t="n">
        <v>0.008999999999999999</v>
      </c>
      <c r="I26" s="13" t="n">
        <v>0.011</v>
      </c>
      <c r="J26" s="1" t="n">
        <v>316.12</v>
      </c>
      <c r="K26" t="n">
        <v>1212.48</v>
      </c>
      <c r="M26" s="1" t="n"/>
      <c r="N26" s="1" t="n"/>
      <c r="O26" s="1" t="n"/>
      <c r="P26" s="1" t="n"/>
      <c r="Q26" s="1" t="n"/>
      <c r="R26" s="1" t="n"/>
      <c r="S26" s="1" t="n"/>
    </row>
    <row r="27">
      <c r="A27" t="inlineStr">
        <is>
          <t>2019/2020</t>
        </is>
      </c>
      <c r="B27" t="inlineStr">
        <is>
          <t>Italy</t>
        </is>
      </c>
      <c r="C27">
        <f>407.6*1000</f>
        <v/>
      </c>
      <c r="D27">
        <f>366.5*1000</f>
        <v/>
      </c>
      <c r="E27">
        <f>80.2*1000</f>
        <v/>
      </c>
      <c r="F27">
        <f>81.8*1000</f>
        <v/>
      </c>
      <c r="G27" s="22">
        <f>60*1000</f>
        <v/>
      </c>
      <c r="H27" s="2" t="n">
        <v>0.006</v>
      </c>
      <c r="I27" s="12" t="n">
        <v>0.006</v>
      </c>
      <c r="J27" s="1" t="n">
        <v>288.0784981386394</v>
      </c>
      <c r="K27" t="n">
        <v>1170.85</v>
      </c>
    </row>
    <row r="28">
      <c r="A28" t="inlineStr">
        <is>
          <t>2020/2021</t>
        </is>
      </c>
      <c r="B28" t="inlineStr">
        <is>
          <t>Italy</t>
        </is>
      </c>
      <c r="C28">
        <f>421.9*1000</f>
        <v/>
      </c>
      <c r="D28">
        <f>273.5*1000</f>
        <v/>
      </c>
      <c r="E28">
        <f>76.1*1000</f>
        <v/>
      </c>
      <c r="F28">
        <f>51.2*1000</f>
        <v/>
      </c>
      <c r="G28" s="22">
        <f>83*1000</f>
        <v/>
      </c>
      <c r="H28" s="2" t="n">
        <v>-0.089</v>
      </c>
      <c r="I28" s="13" t="n">
        <v>-0.001</v>
      </c>
      <c r="J28" s="1" t="n">
        <v>226.2265293093095</v>
      </c>
      <c r="K28" t="n">
        <v>981.35</v>
      </c>
    </row>
    <row r="29">
      <c r="A29" t="inlineStr">
        <is>
          <t>2021/2022</t>
        </is>
      </c>
      <c r="B29" t="inlineStr">
        <is>
          <t>Italy</t>
        </is>
      </c>
      <c r="C29">
        <f>457.1*1000</f>
        <v/>
      </c>
      <c r="D29">
        <f>329*1000</f>
        <v/>
      </c>
      <c r="E29">
        <f>72.7*1000</f>
        <v/>
      </c>
      <c r="F29">
        <f>51.5*1000</f>
        <v/>
      </c>
      <c r="G29" s="22">
        <f>62.5*1000</f>
        <v/>
      </c>
      <c r="H29" s="2" t="n">
        <v>0.089</v>
      </c>
      <c r="I29" s="12" t="n">
        <v>0.019</v>
      </c>
      <c r="J29" s="1" t="n">
        <v>305.3089123867069</v>
      </c>
      <c r="K29" t="n">
        <v>990.35</v>
      </c>
    </row>
    <row r="30">
      <c r="A30" t="inlineStr">
        <is>
          <t>2022/2023</t>
        </is>
      </c>
      <c r="B30" t="inlineStr">
        <is>
          <t>Italy</t>
        </is>
      </c>
      <c r="C30">
        <f>433.8*1000</f>
        <v/>
      </c>
      <c r="D30">
        <f>240.9*1000</f>
        <v/>
      </c>
      <c r="E30">
        <f>59*1000</f>
        <v/>
      </c>
      <c r="F30">
        <f>64.6*1000</f>
        <v/>
      </c>
      <c r="G30" s="22">
        <f>67.3*1000</f>
        <v/>
      </c>
      <c r="H30" s="2" t="n">
        <v>0.048</v>
      </c>
      <c r="I30" s="13" t="n">
        <v>0.082</v>
      </c>
      <c r="J30" s="1" t="n">
        <v>362.2600823045267</v>
      </c>
      <c r="K30" t="n">
        <v>818.17</v>
      </c>
    </row>
    <row r="31">
      <c r="A31" t="inlineStr">
        <is>
          <t>2023/2024</t>
        </is>
      </c>
      <c r="B31" t="inlineStr">
        <is>
          <t>Italy</t>
        </is>
      </c>
      <c r="C31">
        <f>411.5*1000</f>
        <v/>
      </c>
      <c r="D31">
        <f>328.5*1000</f>
        <v/>
      </c>
      <c r="E31">
        <f>55.1*1000</f>
        <v/>
      </c>
      <c r="F31">
        <f>68.6*1000</f>
        <v/>
      </c>
      <c r="G31" s="22">
        <f>77.4*1000</f>
        <v/>
      </c>
      <c r="H31" s="2" t="n">
        <v>0.01</v>
      </c>
      <c r="I31" s="12" t="n">
        <v>0.056</v>
      </c>
      <c r="J31" s="1" t="n">
        <v>594.5806451612904</v>
      </c>
      <c r="K31" t="n">
        <v>1025.37</v>
      </c>
    </row>
    <row r="32">
      <c r="A32" t="inlineStr">
        <is>
          <t>2024/2025</t>
        </is>
      </c>
      <c r="B32" t="inlineStr">
        <is>
          <t>Italy</t>
        </is>
      </c>
      <c r="C32">
        <f>395*1000</f>
        <v/>
      </c>
      <c r="D32">
        <f>224*1000</f>
        <v/>
      </c>
      <c r="E32">
        <f>60*1000</f>
        <v/>
      </c>
      <c r="F32">
        <f>60*1000</f>
        <v/>
      </c>
      <c r="G32">
        <f>60*1000</f>
        <v/>
      </c>
      <c r="H32" s="2" t="n">
        <v>0.007</v>
      </c>
      <c r="I32" s="13" t="n">
        <v>0.01</v>
      </c>
      <c r="J32" s="1" t="n">
        <v>717.1768867924528</v>
      </c>
      <c r="K32" t="n">
        <v>1148.22</v>
      </c>
    </row>
    <row r="33" hidden="1">
      <c r="A33" s="4" t="inlineStr">
        <is>
          <t>2025/2026</t>
        </is>
      </c>
      <c r="B33" s="4" t="inlineStr">
        <is>
          <t>Italy</t>
        </is>
      </c>
      <c r="C33" s="5" t="n"/>
      <c r="D33" s="5" t="n"/>
      <c r="E33" s="5" t="n"/>
      <c r="F33" s="5" t="n"/>
      <c r="G33" s="5" t="n"/>
      <c r="H33" s="8" t="n"/>
      <c r="I33" s="6" t="n"/>
      <c r="J33" s="5" t="n">
        <v>578.4256</v>
      </c>
      <c r="K33" s="5" t="n"/>
    </row>
    <row r="34">
      <c r="A34" t="inlineStr">
        <is>
          <t>2018/2019</t>
        </is>
      </c>
      <c r="B34" t="inlineStr">
        <is>
          <t>Morocco</t>
        </is>
      </c>
      <c r="C34">
        <f>GETPIVOTDATA("Tonnes",[1]Sheet1!$A$5,"Haverst period","2018/19","Country","Morocco","Indicator","C")*$O$2</f>
        <v/>
      </c>
      <c r="D34">
        <f>GETPIVOTDATA("Tonnes",[1]Sheet1!$A$5,"Haverst period","2018/19","Country","Morocco","Indicator","P")*$O$2</f>
        <v/>
      </c>
      <c r="E34">
        <f>GETPIVOTDATA("Tonnes",[1]Sheet1!$A$5,"Haverst period","2018/19","Country","Morocco","Indicator","E")*$O$2</f>
        <v/>
      </c>
      <c r="F34">
        <f>GETPIVOTDATA("Tonnes",[1]Sheet1!$A$5,"Haverst period","2018/19","Country","Morocco","Indicator","I")*$O$2</f>
        <v/>
      </c>
      <c r="G34">
        <f>GETPIVOTDATA("Tonnes",[1]Sheet1!$A$5,"Haverst period","2018/19","Country","Morocco","Indicator","P")*$O$2</f>
        <v/>
      </c>
      <c r="H34" s="64" t="n"/>
      <c r="I34" s="65" t="n"/>
      <c r="J34" s="1" t="n"/>
      <c r="K34" s="1" t="n"/>
    </row>
    <row r="35">
      <c r="A35" t="inlineStr">
        <is>
          <t>2019/2020</t>
        </is>
      </c>
      <c r="B35" t="inlineStr">
        <is>
          <t>Morocco</t>
        </is>
      </c>
      <c r="C35">
        <f>GETPIVOTDATA("Tonnes",[1]Sheet1!$A$5,"Haverst period","2019/20","Country","Morocco","Indicator","C")*$O$2</f>
        <v/>
      </c>
      <c r="D35">
        <f>GETPIVOTDATA("Tonnes",[1]Sheet1!$A$5,"Haverst period","2019/20","Country","Morocco","Indicator","P")*$O$2</f>
        <v/>
      </c>
      <c r="E35">
        <f>GETPIVOTDATA("Tonnes",[1]Sheet1!$A$5,"Haverst period","2019/20","Country","Morocco","Indicator","E")*$O$2</f>
        <v/>
      </c>
      <c r="F35">
        <f>GETPIVOTDATA("Tonnes",[1]Sheet1!$A$5,"Haverst period","2019/20","Country","Morocco","Indicator","I")*$O$2</f>
        <v/>
      </c>
      <c r="G35">
        <f>GETPIVOTDATA("Tonnes",[1]Sheet1!$A$5,"Haverst period","2019/20","Country","Morocco","Indicator","P")*$O$2</f>
        <v/>
      </c>
      <c r="H35" s="64" t="n"/>
      <c r="I35" s="65" t="n"/>
      <c r="J35" s="1" t="n"/>
      <c r="K35" s="1" t="n"/>
    </row>
    <row r="36">
      <c r="A36" t="inlineStr">
        <is>
          <t>2020/2021</t>
        </is>
      </c>
      <c r="B36" t="inlineStr">
        <is>
          <t>Morocco</t>
        </is>
      </c>
      <c r="C36">
        <f>GETPIVOTDATA("Tonnes",[1]Sheet1!$A$5,"Haverst period","2020/21","Country","Morocco","Indicator","C")*O2</f>
        <v/>
      </c>
      <c r="D36">
        <f>GETPIVOTDATA("Tonnes",[1]Sheet1!$A$5,"Haverst period","2020/21","Country","Morocco","Indicator","P")*$O$2</f>
        <v/>
      </c>
      <c r="E36">
        <f>GETPIVOTDATA("Tonnes",[1]Sheet1!$A$5,"Haverst period","2020/21","Country","Morocco","Indicator","E")*$O$2</f>
        <v/>
      </c>
      <c r="F36">
        <f>GETPIVOTDATA("Tonnes",[1]Sheet1!$A$5,"Haverst period","2020/21","Country","Morocco","Indicator","I")*$O$2</f>
        <v/>
      </c>
      <c r="G36">
        <f>GETPIVOTDATA("Tonnes",[1]Sheet1!$A$5,"Haverst period","2020/21","Country","Morocco","Indicator","P")*$O$2</f>
        <v/>
      </c>
      <c r="H36" s="64" t="n"/>
      <c r="I36" s="65" t="n"/>
      <c r="J36" s="1" t="n"/>
      <c r="K36" s="1" t="n"/>
    </row>
    <row r="37">
      <c r="A37" t="inlineStr">
        <is>
          <t>2021/2022</t>
        </is>
      </c>
      <c r="B37" t="inlineStr">
        <is>
          <t>Morocco</t>
        </is>
      </c>
      <c r="C37">
        <f>GETPIVOTDATA("Tonnes",[1]Sheet1!$A$5,"Haverst period","2021/22","Country","Morocco","Indicator","C")*O2</f>
        <v/>
      </c>
      <c r="D37">
        <f>GETPIVOTDATA("Tonnes",[1]Sheet1!$A$5,"Haverst period","2021/22","Country","Morocco","Indicator","P")*$O$2</f>
        <v/>
      </c>
      <c r="E37">
        <f>GETPIVOTDATA("Tonnes",[1]Sheet1!$A$5,"Haverst period","2021/22","Country","Morocco","Indicator","E")*$O$2</f>
        <v/>
      </c>
      <c r="F37">
        <f>GETPIVOTDATA("Tonnes",[1]Sheet1!$A$5,"Haverst period","2021/22","Country","Morocco","Indicator","I")*$O$2</f>
        <v/>
      </c>
      <c r="G37">
        <f>GETPIVOTDATA("Tonnes",[1]Sheet1!$A$5,"Haverst period","2021/22","Country","Morocco","Indicator","P")*$O$2</f>
        <v/>
      </c>
      <c r="H37" s="64" t="n"/>
      <c r="I37" s="65" t="n"/>
      <c r="J37" s="1" t="n"/>
      <c r="K37" s="1" t="n"/>
    </row>
    <row r="38">
      <c r="A38" t="inlineStr">
        <is>
          <t>2022/2023</t>
        </is>
      </c>
      <c r="B38" t="inlineStr">
        <is>
          <t>Morocco</t>
        </is>
      </c>
      <c r="C38">
        <f>GETPIVOTDATA("Tonnes",[1]Sheet1!$A$5,"Haverst period","2022/23","Country","Morocco","Indicator","C")*O2</f>
        <v/>
      </c>
      <c r="D38">
        <f>GETPIVOTDATA("Tonnes",[1]Sheet1!$A$5,"Haverst period","2022/23","Country","Morocco","Indicator","P")*$O$2</f>
        <v/>
      </c>
      <c r="E38">
        <f>GETPIVOTDATA("Tonnes",[1]Sheet1!$A$5,"Haverst period","2022/23","Country","Morocco","Indicator","E")*$O$2</f>
        <v/>
      </c>
      <c r="F38">
        <f>GETPIVOTDATA("Tonnes",[1]Sheet1!$A$5,"Haverst period","2022/23","Country","Morocco","Indicator","I")*$O$2</f>
        <v/>
      </c>
      <c r="G38">
        <f>GETPIVOTDATA("Tonnes",[1]Sheet1!$A$5,"Haverst period","2022/23","Country","Morocco","Indicator","P")*$O$2</f>
        <v/>
      </c>
      <c r="H38" s="64" t="n"/>
      <c r="I38" s="65" t="n"/>
      <c r="J38" s="1" t="n"/>
      <c r="K38" s="1" t="n"/>
    </row>
    <row r="39">
      <c r="A39" t="inlineStr">
        <is>
          <t>2023/2024</t>
        </is>
      </c>
      <c r="B39" t="inlineStr">
        <is>
          <t>Morocco</t>
        </is>
      </c>
      <c r="C39">
        <f>GETPIVOTDATA("Tonnes",[1]Sheet1!$A$5,"Haverst period","2023/24","Country","Morocco","Indicator","C")*O2</f>
        <v/>
      </c>
      <c r="D39">
        <f>GETPIVOTDATA("Tonnes",[1]Sheet1!$A$5,"Haverst period","2023/24","Country","Morocco","Indicator","P")*$O$2</f>
        <v/>
      </c>
      <c r="E39">
        <f>GETPIVOTDATA("Tonnes",[1]Sheet1!$A$5,"Haverst period","2023/24","Country","Morocco","Indicator","E")*$O$2</f>
        <v/>
      </c>
      <c r="F39">
        <f>GETPIVOTDATA("Tonnes",[1]Sheet1!$A$5,"Haverst period","2023/24","Country","Morocco","Indicator","I")*$O$2</f>
        <v/>
      </c>
      <c r="G39">
        <f>GETPIVOTDATA("Tonnes",[1]Sheet1!$A$5,"Haverst period","2023/24","Country","Morocco","Indicator","P")*$O$2</f>
        <v/>
      </c>
      <c r="H39" s="64" t="n"/>
      <c r="I39" s="65" t="n"/>
      <c r="J39" s="1" t="n"/>
      <c r="K39" s="1" t="n"/>
    </row>
    <row r="40">
      <c r="A40" t="inlineStr">
        <is>
          <t>2024/2025</t>
        </is>
      </c>
      <c r="B40" t="inlineStr">
        <is>
          <t>Morocco</t>
        </is>
      </c>
      <c r="C40">
        <f>GETPIVOTDATA("Tonnes",[1]Sheet1!$A$5,"Haverst period","2024/25","Country","Morocco","Indicator","C")*O2</f>
        <v/>
      </c>
      <c r="D40">
        <f>GETPIVOTDATA("Tonnes",[1]Sheet1!$A$5,"Haverst period","2024/25","Country","Morocco","Indicator","P")*$O$2</f>
        <v/>
      </c>
      <c r="E40">
        <f>GETPIVOTDATA("Tonnes",[1]Sheet1!$A$5,"Haverst period","2024/25","Country","Morocco","Indicator","E")*$O$2</f>
        <v/>
      </c>
      <c r="F40">
        <f>GETPIVOTDATA("Tonnes",[1]Sheet1!$A$5,"Haverst period","2024/25","Country","Morocco","Indicator","I")*$O$2</f>
        <v/>
      </c>
      <c r="G40">
        <f>GETPIVOTDATA("Tonnes",[1]Sheet1!$A$5,"Haverst period","2024/25","Country","Morocco","Indicator","P")*$O$2</f>
        <v/>
      </c>
      <c r="H40" s="64" t="n"/>
      <c r="I40" s="65" t="n"/>
      <c r="J40" s="1" t="n"/>
      <c r="K40" s="1" t="n"/>
    </row>
    <row r="41">
      <c r="A41" t="inlineStr">
        <is>
          <t>2018/2019</t>
        </is>
      </c>
      <c r="B41" t="inlineStr">
        <is>
          <t>Tunisia</t>
        </is>
      </c>
      <c r="C41">
        <f>GETPIVOTDATA("Tonnes",[1]Sheet1!$A$5,"Haverst period","2018/19","Country","Tunisia","Indicator","C")*$O$2</f>
        <v/>
      </c>
      <c r="D41">
        <f>GETPIVOTDATA("Tonnes",[1]Sheet1!$A$5,"Haverst period","2018/19","Country","Tunisia","Indicator","P")*$O$2</f>
        <v/>
      </c>
      <c r="E41">
        <f>GETPIVOTDATA("Tonnes",[1]Sheet1!$A$5,"Haverst period","2018/19","Country","Tunisia","Indicator","E")*$O$2</f>
        <v/>
      </c>
      <c r="F41">
        <f>GETPIVOTDATA("Tonnes",[1]Sheet1!$A$5,"Haverst period","2018/19","Country","Tunisia","Indicator","I")*$O$2</f>
        <v/>
      </c>
      <c r="G41">
        <f>GETPIVOTDATA("Tonnes",[1]Sheet1!$A$5,"Haverst period","2018/19","Country","Tunisia","Indicator","P")*$O$2</f>
        <v/>
      </c>
      <c r="H41" s="64" t="n"/>
      <c r="I41" s="65" t="n"/>
      <c r="J41" s="1" t="n"/>
      <c r="K41" s="1" t="n"/>
    </row>
    <row r="42">
      <c r="A42" t="inlineStr">
        <is>
          <t>2019/2020</t>
        </is>
      </c>
      <c r="B42" t="inlineStr">
        <is>
          <t>Tunisia</t>
        </is>
      </c>
      <c r="C42">
        <f>GETPIVOTDATA("Tonnes",[1]Sheet1!$A$5,"Haverst period","2019/20","Country","Tunisia","Indicator","C")*$O$2</f>
        <v/>
      </c>
      <c r="D42">
        <f>GETPIVOTDATA("Tonnes",[1]Sheet1!$A$5,"Haverst period","2019/20","Country","Tunisia","Indicator","P")*$O$2</f>
        <v/>
      </c>
      <c r="E42">
        <f>GETPIVOTDATA("Tonnes",[1]Sheet1!$A$5,"Haverst period","2019/20","Country","Tunisia","Indicator","E")*$O$2</f>
        <v/>
      </c>
      <c r="F42">
        <f>GETPIVOTDATA("Tonnes",[1]Sheet1!$A$5,"Haverst period","2019/20","Country","Tunisia","Indicator","I")*$O$2</f>
        <v/>
      </c>
      <c r="G42">
        <f>GETPIVOTDATA("Tonnes",[1]Sheet1!$A$5,"Haverst period","2019/20","Country","Tunisia","Indicator","P")*$O$2</f>
        <v/>
      </c>
      <c r="H42" s="64" t="n"/>
      <c r="I42" s="65" t="n"/>
      <c r="J42" s="1" t="n"/>
      <c r="K42" s="1" t="n"/>
    </row>
    <row r="43">
      <c r="A43" t="inlineStr">
        <is>
          <t>2020/2021</t>
        </is>
      </c>
      <c r="B43" t="inlineStr">
        <is>
          <t>Tunisia</t>
        </is>
      </c>
      <c r="C43">
        <f>GETPIVOTDATA("Tonnes",[1]Sheet1!$A$5,"Haverst period","2020/21","Country","Tunisia","Indicator","C")*$O$2</f>
        <v/>
      </c>
      <c r="D43">
        <f>GETPIVOTDATA("Tonnes",[1]Sheet1!$A$5,"Haverst period","2020/21","Country","Tunisia","Indicator","P")*$O$2</f>
        <v/>
      </c>
      <c r="E43">
        <f>GETPIVOTDATA("Tonnes",[1]Sheet1!$A$5,"Haverst period","2020/21","Country","Tunisia","Indicator","E")*$O$2</f>
        <v/>
      </c>
      <c r="F43">
        <f>GETPIVOTDATA("Tonnes",[1]Sheet1!$A$5,"Haverst period","2020/21","Country","Tunisia","Indicator","I")*$O$2</f>
        <v/>
      </c>
      <c r="G43">
        <f>GETPIVOTDATA("Tonnes",[1]Sheet1!$A$5,"Haverst period","2020/21","Country","Tunisia","Indicator","P")*$O$2</f>
        <v/>
      </c>
      <c r="H43" s="64" t="n"/>
      <c r="I43" s="65" t="n"/>
      <c r="J43" s="1" t="n"/>
      <c r="K43" s="1" t="n"/>
    </row>
    <row r="44">
      <c r="A44" t="inlineStr">
        <is>
          <t>2021/2022</t>
        </is>
      </c>
      <c r="B44" t="inlineStr">
        <is>
          <t>Tunisia</t>
        </is>
      </c>
      <c r="C44">
        <f>GETPIVOTDATA("Tonnes",[1]Sheet1!$A$5,"Haverst period","2021/22","Country","Tunisia","Indicator","C")*$O$2</f>
        <v/>
      </c>
      <c r="D44">
        <f>GETPIVOTDATA("Tonnes",[1]Sheet1!$A$5,"Haverst period","2021/22","Country","Tunisia","Indicator","P")*$O$2</f>
        <v/>
      </c>
      <c r="E44">
        <f>GETPIVOTDATA("Tonnes",[1]Sheet1!$A$5,"Haverst period","2021/22","Country","Tunisia","Indicator","E")*$O$2</f>
        <v/>
      </c>
      <c r="F44">
        <f>GETPIVOTDATA("Tonnes",[1]Sheet1!$A$5,"Haverst period","2021/22","Country","Tunisia","Indicator","I")*$O$2</f>
        <v/>
      </c>
      <c r="G44">
        <f>GETPIVOTDATA("Tonnes",[1]Sheet1!$A$5,"Haverst period","2021/22","Country","Tunisia","Indicator","P")*$O$2</f>
        <v/>
      </c>
      <c r="H44" s="64" t="n"/>
      <c r="I44" s="65" t="n"/>
      <c r="J44" s="1" t="n"/>
      <c r="K44" s="1" t="n"/>
    </row>
    <row r="45">
      <c r="A45" t="inlineStr">
        <is>
          <t>2022/2023</t>
        </is>
      </c>
      <c r="B45" t="inlineStr">
        <is>
          <t>Tunisia</t>
        </is>
      </c>
      <c r="C45">
        <f>GETPIVOTDATA("Tonnes",[1]Sheet1!$A$5,"Haverst period","2022/23","Country","Tunisia","Indicator","C")*$O$2</f>
        <v/>
      </c>
      <c r="D45">
        <f>GETPIVOTDATA("Tonnes",[1]Sheet1!$A$5,"Haverst period","2022/23","Country","Tunisia","Indicator","P")*$O$2</f>
        <v/>
      </c>
      <c r="E45">
        <f>GETPIVOTDATA("Tonnes",[1]Sheet1!$A$5,"Haverst period","2022/23","Country","Tunisia","Indicator","E")*$O$2</f>
        <v/>
      </c>
      <c r="F45">
        <f>GETPIVOTDATA("Tonnes",[1]Sheet1!$A$5,"Haverst period","2022/23","Country","Tunisia","Indicator","I")*$O$2</f>
        <v/>
      </c>
      <c r="G45">
        <f>GETPIVOTDATA("Tonnes",[1]Sheet1!$A$5,"Haverst period","2022/23","Country","Tunisia","Indicator","P")*$O$2</f>
        <v/>
      </c>
      <c r="H45" s="64" t="n"/>
      <c r="I45" s="65" t="n"/>
      <c r="J45" s="1" t="n"/>
      <c r="K45" s="1" t="n"/>
    </row>
    <row r="46">
      <c r="A46" t="inlineStr">
        <is>
          <t>2023/2024</t>
        </is>
      </c>
      <c r="B46" t="inlineStr">
        <is>
          <t>Tunisia</t>
        </is>
      </c>
      <c r="C46">
        <f>GETPIVOTDATA("Tonnes",[1]Sheet1!$A$5,"Haverst period","2023/24","Country","Tunisia","Indicator","C")*$O$2</f>
        <v/>
      </c>
      <c r="D46">
        <f>GETPIVOTDATA("Tonnes",[1]Sheet1!$A$5,"Haverst period","2023/24","Country","Tunisia","Indicator","P")*$O$2</f>
        <v/>
      </c>
      <c r="E46">
        <f>GETPIVOTDATA("Tonnes",[1]Sheet1!$A$5,"Haverst period","2023/24","Country","Tunisia","Indicator","E")*$O$2</f>
        <v/>
      </c>
      <c r="F46">
        <f>GETPIVOTDATA("Tonnes",[1]Sheet1!$A$5,"Haverst period","2023/24","Country","Tunisia","Indicator","I")*$O$2</f>
        <v/>
      </c>
      <c r="G46">
        <f>GETPIVOTDATA("Tonnes",[1]Sheet1!$A$5,"Haverst period","2023/24","Country","Tunisia","Indicator","P")*$O$2</f>
        <v/>
      </c>
      <c r="H46" s="64" t="n"/>
      <c r="I46" s="65" t="n"/>
      <c r="J46" s="1" t="n"/>
      <c r="K46" s="1" t="n"/>
    </row>
    <row r="47">
      <c r="A47" t="inlineStr">
        <is>
          <t>2024/2025</t>
        </is>
      </c>
      <c r="B47" t="inlineStr">
        <is>
          <t>Tunisia</t>
        </is>
      </c>
      <c r="C47">
        <f>GETPIVOTDATA("Tonnes",[1]Sheet1!$A$5,"Haverst period","2024/25","Country","Tunisia","Indicator","C")*$O$2</f>
        <v/>
      </c>
      <c r="D47">
        <f>GETPIVOTDATA("Tonnes",[1]Sheet1!$A$5,"Haverst period","2024/25","Country","Tunisia","Indicator","P")*$O$2</f>
        <v/>
      </c>
      <c r="E47">
        <f>GETPIVOTDATA("Tonnes",[1]Sheet1!$A$5,"Haverst period","2024/25","Country","Tunisia","Indicator","E")*$O$2</f>
        <v/>
      </c>
      <c r="F47">
        <f>GETPIVOTDATA("Tonnes",[1]Sheet1!$A$5,"Haverst period","2024/25","Country","Tunisia","Indicator","I")*$O$2</f>
        <v/>
      </c>
      <c r="G47">
        <f>GETPIVOTDATA("Tonnes",[1]Sheet1!$A$5,"Haverst period","2024/25","Country","Tunisia","Indicator","P")*$O$2</f>
        <v/>
      </c>
      <c r="H47" s="64" t="n"/>
      <c r="I47" s="65" t="n"/>
      <c r="J47" s="1" t="n"/>
      <c r="K47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workbookViewId="0">
      <selection activeCell="E7" sqref="E7"/>
    </sheetView>
  </sheetViews>
  <sheetFormatPr baseColWidth="8" defaultRowHeight="14.4"/>
  <cols>
    <col width="17.44140625" bestFit="1" customWidth="1" min="1" max="1"/>
    <col width="13" bestFit="1" customWidth="1" min="2" max="2"/>
    <col width="12.6640625" bestFit="1" customWidth="1" min="3" max="5"/>
    <col width="17.109375" bestFit="1" customWidth="1" min="6" max="6"/>
    <col width="12.6640625" bestFit="1" customWidth="1" min="7" max="8"/>
    <col width="12" bestFit="1" customWidth="1" min="9" max="9"/>
    <col width="17.6640625" bestFit="1" customWidth="1" min="10" max="10"/>
  </cols>
  <sheetData>
    <row r="1">
      <c r="A1" s="10" t="n"/>
      <c r="B1" s="10" t="inlineStr">
        <is>
          <t>Consumption</t>
        </is>
      </c>
      <c r="C1" s="10" t="inlineStr">
        <is>
          <t>Production</t>
        </is>
      </c>
      <c r="D1" s="10" t="inlineStr">
        <is>
          <t>Exportation</t>
        </is>
      </c>
      <c r="E1" s="10" t="inlineStr">
        <is>
          <t>Importation</t>
        </is>
      </c>
      <c r="F1" s="10" t="inlineStr">
        <is>
          <t>Production_Olives</t>
        </is>
      </c>
      <c r="G1" s="10" t="inlineStr">
        <is>
          <t>PIB</t>
        </is>
      </c>
      <c r="H1" s="10" t="inlineStr">
        <is>
          <t>Inflation</t>
        </is>
      </c>
      <c r="I1" s="10" t="inlineStr">
        <is>
          <t>PriceAVG</t>
        </is>
      </c>
      <c r="J1" s="10" t="inlineStr">
        <is>
          <t>Precipitation (mm)</t>
        </is>
      </c>
    </row>
    <row r="2">
      <c r="A2" t="inlineStr">
        <is>
          <t>Consumption</t>
        </is>
      </c>
      <c r="B2" t="n">
        <v>1</v>
      </c>
      <c r="N2" s="15" t="n"/>
      <c r="O2" s="18" t="inlineStr">
        <is>
          <t>oferta</t>
        </is>
      </c>
      <c r="R2" t="inlineStr">
        <is>
          <t>production + exportation + production_olives</t>
        </is>
      </c>
    </row>
    <row r="3">
      <c r="A3" t="inlineStr">
        <is>
          <t>Production</t>
        </is>
      </c>
      <c r="B3" t="n">
        <v>0.7148671667490061</v>
      </c>
      <c r="C3" t="n">
        <v>1</v>
      </c>
      <c r="N3" s="16" t="n"/>
      <c r="O3" s="18" t="inlineStr">
        <is>
          <t>dimensao mercado/procura</t>
        </is>
      </c>
      <c r="R3" t="inlineStr">
        <is>
          <t>consumption + importation</t>
        </is>
      </c>
    </row>
    <row r="4">
      <c r="A4" t="inlineStr">
        <is>
          <t>Exportation</t>
        </is>
      </c>
      <c r="B4" t="n">
        <v>0.7300880229881784</v>
      </c>
      <c r="C4" s="15" t="n">
        <v>0.9090962258807149</v>
      </c>
      <c r="D4" t="n">
        <v>1</v>
      </c>
      <c r="N4" s="17" t="n"/>
      <c r="O4" s="18" t="inlineStr">
        <is>
          <t>clima</t>
        </is>
      </c>
      <c r="R4" t="inlineStr">
        <is>
          <t>precipitation</t>
        </is>
      </c>
    </row>
    <row r="5">
      <c r="A5" t="inlineStr">
        <is>
          <t>Importation</t>
        </is>
      </c>
      <c r="B5" s="16" t="n">
        <v>0.9032533963524596</v>
      </c>
      <c r="C5" t="n">
        <v>0.7029203721676945</v>
      </c>
      <c r="D5" t="n">
        <v>0.7840340729948042</v>
      </c>
      <c r="E5" t="n">
        <v>1</v>
      </c>
    </row>
    <row r="6">
      <c r="A6" t="inlineStr">
        <is>
          <t>Production_Olives</t>
        </is>
      </c>
      <c r="B6" t="n">
        <v>0.5612428402437892</v>
      </c>
      <c r="C6" s="15" t="n">
        <v>0.9154150665620232</v>
      </c>
      <c r="D6" s="15" t="n">
        <v>0.8282870145208352</v>
      </c>
      <c r="E6" t="n">
        <v>0.5778312204348157</v>
      </c>
      <c r="F6" t="n">
        <v>1</v>
      </c>
    </row>
    <row r="7">
      <c r="A7" t="inlineStr">
        <is>
          <t>PIB</t>
        </is>
      </c>
      <c r="B7" t="n">
        <v>-0.0183260323536256</v>
      </c>
      <c r="C7" t="n">
        <v>0.04975086821318108</v>
      </c>
      <c r="D7" t="n">
        <v>0.03645705967370427</v>
      </c>
      <c r="E7" t="n">
        <v>0.009072374966611079</v>
      </c>
      <c r="F7" t="n">
        <v>0.0656805146040141</v>
      </c>
      <c r="G7" t="n">
        <v>1</v>
      </c>
    </row>
    <row r="8">
      <c r="A8" t="inlineStr">
        <is>
          <t>Inflation</t>
        </is>
      </c>
      <c r="B8" t="n">
        <v>-0.007151477075730428</v>
      </c>
      <c r="C8" t="n">
        <v>-0.043509722773252</v>
      </c>
      <c r="D8" t="n">
        <v>-0.03604954324430934</v>
      </c>
      <c r="E8" t="n">
        <v>0.03664951988205555</v>
      </c>
      <c r="F8" t="n">
        <v>0.04768241981488702</v>
      </c>
      <c r="G8" s="19" t="n">
        <v>0.5173840808707277</v>
      </c>
      <c r="H8" t="n">
        <v>1</v>
      </c>
    </row>
    <row r="9">
      <c r="A9" t="inlineStr">
        <is>
          <t>PriceAVG</t>
        </is>
      </c>
      <c r="B9" t="n">
        <v>-0.1031054803506656</v>
      </c>
      <c r="C9" t="n">
        <v>-0.1735916985261218</v>
      </c>
      <c r="D9" t="n">
        <v>-0.1631203778903818</v>
      </c>
      <c r="E9" t="n">
        <v>0.010080086986717</v>
      </c>
      <c r="F9" t="n">
        <v>-0.2175091723985553</v>
      </c>
      <c r="G9" s="19" t="n">
        <v>0.16203823897755</v>
      </c>
      <c r="H9" s="19" t="n">
        <v>0.2694498530499501</v>
      </c>
      <c r="I9" t="n">
        <v>1</v>
      </c>
    </row>
    <row r="10" ht="15" customHeight="1" thickBot="1">
      <c r="A10" s="9" t="inlineStr">
        <is>
          <t>Precipitation (mm)</t>
        </is>
      </c>
      <c r="B10" s="9" t="n">
        <v>0.1216576161252123</v>
      </c>
      <c r="C10" s="21" t="n">
        <v>-0.3792164953416048</v>
      </c>
      <c r="D10" s="9" t="n">
        <v>-0.4150689101356586</v>
      </c>
      <c r="E10" s="9" t="n">
        <v>-0.04549991761218087</v>
      </c>
      <c r="F10" s="21" t="n">
        <v>-0.5020736403629923</v>
      </c>
      <c r="G10" s="20" t="n">
        <v>-0.04145888817377721</v>
      </c>
      <c r="H10" s="20" t="n">
        <v>-0.1979744456859356</v>
      </c>
      <c r="I10" s="20" t="n">
        <v>0.05142774123346131</v>
      </c>
      <c r="J10" s="9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9"/>
  <sheetViews>
    <sheetView showGridLines="0" topLeftCell="AG1" workbookViewId="0">
      <selection activeCell="AY1" sqref="AY1"/>
    </sheetView>
  </sheetViews>
  <sheetFormatPr baseColWidth="8" defaultRowHeight="14.4"/>
  <cols>
    <col width="9.44140625" customWidth="1" min="1" max="1"/>
    <col width="10.109375" customWidth="1" min="4" max="4"/>
    <col width="10.109375" customWidth="1" min="6" max="6"/>
    <col width="6.21875" customWidth="1" min="9" max="9"/>
    <col width="12.33203125" customWidth="1" min="10" max="10"/>
    <col width="12.88671875" customWidth="1" min="11" max="11"/>
    <col width="6.21875" customWidth="1" min="12" max="12"/>
    <col width="8.33203125" customWidth="1" min="13" max="13"/>
    <col width="6.88671875" customWidth="1" min="14" max="14"/>
    <col width="10.33203125" customWidth="1" min="15" max="15"/>
    <col width="10.109375" customWidth="1" min="16" max="16"/>
    <col width="6.6640625" bestFit="1" customWidth="1" min="17" max="17"/>
    <col width="5.88671875" customWidth="1" min="19" max="19"/>
    <col width="11.21875" bestFit="1" customWidth="1" min="20" max="20"/>
    <col width="9" customWidth="1" min="22" max="22"/>
    <col width="8.33203125" bestFit="1" customWidth="1" min="25" max="25"/>
    <col width="10.33203125" customWidth="1" min="32" max="32"/>
    <col width="11.109375" customWidth="1" min="38" max="38"/>
    <col width="6" customWidth="1" min="41" max="42"/>
    <col width="10.88671875" customWidth="1" min="44" max="44"/>
    <col width="9.44140625" customWidth="1" min="47" max="47"/>
  </cols>
  <sheetData>
    <row r="1">
      <c r="A1" s="28" t="inlineStr">
        <is>
          <t>Consumption</t>
        </is>
      </c>
      <c r="B1" t="inlineStr">
        <is>
          <t>Min</t>
        </is>
      </c>
      <c r="C1" s="28" t="inlineStr">
        <is>
          <t>Max</t>
        </is>
      </c>
      <c r="D1" s="28" t="inlineStr">
        <is>
          <t>Consumption_N</t>
        </is>
      </c>
      <c r="F1" s="28" t="inlineStr">
        <is>
          <t>Production</t>
        </is>
      </c>
      <c r="G1" s="28" t="inlineStr">
        <is>
          <t>Min</t>
        </is>
      </c>
      <c r="H1" s="28" t="inlineStr">
        <is>
          <t>Max</t>
        </is>
      </c>
      <c r="I1" s="28" t="inlineStr">
        <is>
          <t>Production_N</t>
        </is>
      </c>
      <c r="K1" s="28" t="inlineStr">
        <is>
          <t>Exportation</t>
        </is>
      </c>
      <c r="L1" s="28" t="inlineStr">
        <is>
          <t>Min</t>
        </is>
      </c>
      <c r="M1" s="28" t="inlineStr">
        <is>
          <t>Max</t>
        </is>
      </c>
      <c r="N1" s="28" t="inlineStr">
        <is>
          <t>Exportation_N</t>
        </is>
      </c>
      <c r="P1" s="28" t="inlineStr">
        <is>
          <t>Importation</t>
        </is>
      </c>
      <c r="Q1" s="28" t="inlineStr">
        <is>
          <t>Min</t>
        </is>
      </c>
      <c r="R1" s="28" t="inlineStr">
        <is>
          <t>Max</t>
        </is>
      </c>
      <c r="S1" s="28" t="inlineStr">
        <is>
          <t>Importation_N</t>
        </is>
      </c>
      <c r="T1" s="28" t="inlineStr">
        <is>
          <t>Importation_N_Inversion</t>
        </is>
      </c>
      <c r="V1" s="28" t="inlineStr">
        <is>
          <t>Production_Olives</t>
        </is>
      </c>
      <c r="W1" s="28" t="inlineStr">
        <is>
          <t>Min</t>
        </is>
      </c>
      <c r="X1" s="28" t="inlineStr">
        <is>
          <t>Max</t>
        </is>
      </c>
      <c r="Y1" s="28" t="inlineStr">
        <is>
          <t>OO_N</t>
        </is>
      </c>
      <c r="AA1" s="29" t="inlineStr">
        <is>
          <t>PIB</t>
        </is>
      </c>
      <c r="AB1" s="29" t="inlineStr">
        <is>
          <t>Min</t>
        </is>
      </c>
      <c r="AC1" s="29" t="inlineStr">
        <is>
          <t>Max</t>
        </is>
      </c>
      <c r="AD1" s="29" t="inlineStr">
        <is>
          <t>PIB_N</t>
        </is>
      </c>
      <c r="AF1" s="28" t="inlineStr">
        <is>
          <t>Inflation</t>
        </is>
      </c>
      <c r="AG1" s="28" t="inlineStr">
        <is>
          <t>Min</t>
        </is>
      </c>
      <c r="AH1" s="28" t="inlineStr">
        <is>
          <t>Max</t>
        </is>
      </c>
      <c r="AI1" s="28" t="inlineStr">
        <is>
          <t>Inflation_N</t>
        </is>
      </c>
      <c r="AJ1" s="28" t="inlineStr">
        <is>
          <t>Inflation_N_Inversion</t>
        </is>
      </c>
      <c r="AL1" s="28" t="inlineStr">
        <is>
          <t>PriceAVG</t>
        </is>
      </c>
      <c r="AM1" s="28" t="inlineStr">
        <is>
          <t>Min</t>
        </is>
      </c>
      <c r="AN1" s="28" t="inlineStr">
        <is>
          <t>Max</t>
        </is>
      </c>
      <c r="AO1" s="28" t="inlineStr">
        <is>
          <t>Inflation_N</t>
        </is>
      </c>
      <c r="AP1" s="28" t="inlineStr">
        <is>
          <t>Inversion</t>
        </is>
      </c>
      <c r="AR1" s="28" t="inlineStr">
        <is>
          <t>Precipitation (mm)</t>
        </is>
      </c>
      <c r="AS1" s="28" t="inlineStr">
        <is>
          <t>Min</t>
        </is>
      </c>
      <c r="AT1" s="28" t="inlineStr">
        <is>
          <t>Max</t>
        </is>
      </c>
      <c r="AU1" s="28" t="inlineStr">
        <is>
          <t>Precipitation_N</t>
        </is>
      </c>
    </row>
    <row r="2">
      <c r="A2" s="24">
        <f>525.7*1000</f>
        <v/>
      </c>
      <c r="B2">
        <f>MIN(Table2[Consumption])</f>
        <v/>
      </c>
      <c r="C2" s="33">
        <f>MAX(Table2[Consumption])</f>
        <v/>
      </c>
      <c r="D2" s="34">
        <f>(Table2[[#This Row],[Consumption]]-Table2[[#This Row],[Min]])/(Table2[[#This Row],[Max]]-Table2[[#This Row],[Min]])</f>
        <v/>
      </c>
      <c r="F2" s="24">
        <f>1789.9*1000</f>
        <v/>
      </c>
      <c r="G2" s="24">
        <f>MIN(Table3[Production])</f>
        <v/>
      </c>
      <c r="H2" s="24">
        <f>MAX(Table3[Production])</f>
        <v/>
      </c>
      <c r="I2" s="34">
        <f>(Table3[[#This Row],[Production]]-Table3[[#This Row],[Min]])/(Table3[[#This Row],[Max]]-Table3[[#This Row],[Min]])</f>
        <v/>
      </c>
      <c r="K2" s="24">
        <f>355.8*1000</f>
        <v/>
      </c>
      <c r="L2" s="33">
        <f>MIN(Table4[Exportation])</f>
        <v/>
      </c>
      <c r="M2" s="33">
        <f>MAX(Table4[Exportation])</f>
        <v/>
      </c>
      <c r="N2" s="34">
        <f>(Table4[[#This Row],[Exportation]]-Table4[[#This Row],[Min]])/(Table4[[#This Row],[Max]]-Table4[[#This Row],[Min]])</f>
        <v/>
      </c>
      <c r="P2" s="24">
        <f>84*1000</f>
        <v/>
      </c>
      <c r="Q2" s="33">
        <f>MIN(Table5[Importation])</f>
        <v/>
      </c>
      <c r="R2" s="33">
        <f>MAX(Table5[Importation])</f>
        <v/>
      </c>
      <c r="S2" s="34">
        <f>(Table5[[#This Row],[Importation]]-Table5[[#This Row],[Min]])/(Table5[[#This Row],[Max]]-Table5[[#This Row],[Min]])</f>
        <v/>
      </c>
      <c r="T2" s="1">
        <f>1-Table5[[#This Row],[Importation_N]]</f>
        <v/>
      </c>
      <c r="V2" s="24">
        <f>591.1*1000</f>
        <v/>
      </c>
      <c r="W2" s="37">
        <f>MIN(Table6[Production_Olives])</f>
        <v/>
      </c>
      <c r="X2" s="37">
        <f>MAX(Table6[Production_Olives])</f>
        <v/>
      </c>
      <c r="Y2" s="38">
        <f>(Table6[[#This Row],[Production_Olives]]-Table6[[#This Row],[Min]])/(Table6[[#This Row],[Max]]-Table6[[#This Row],[Min]])</f>
        <v/>
      </c>
      <c r="AA2" s="12" t="n">
        <v>0.024</v>
      </c>
      <c r="AB2" s="41">
        <f>MIN(Table8[PIB])</f>
        <v/>
      </c>
      <c r="AC2" s="41">
        <f>MAX(Table8[PIB])</f>
        <v/>
      </c>
      <c r="AD2" s="42">
        <f>(Table8[[#This Row],[PIB]]-Table8[[#This Row],[Min]])/(Table8[[#This Row],[Max]]-Table8[[#This Row],[Min]])</f>
        <v/>
      </c>
      <c r="AF2" s="12" t="n">
        <v>0.017</v>
      </c>
      <c r="AG2" s="41">
        <f>MIN(Table9[Inflation])</f>
        <v/>
      </c>
      <c r="AH2" s="41">
        <f>MAX(Table9[Inflation])</f>
        <v/>
      </c>
      <c r="AI2" s="42">
        <f>(Table9[[#This Row],[Inflation]]-Table9[[#This Row],[Min]])/(Table9[[#This Row],[Max]]-Table9[[#This Row],[Min]])</f>
        <v/>
      </c>
      <c r="AJ2" s="45">
        <f>1-Table9[[#This Row],[Inflation_N]]</f>
        <v/>
      </c>
      <c r="AL2" s="24" t="n">
        <v>245.3007719886635</v>
      </c>
      <c r="AM2" s="33">
        <f>MIN(Table10[PriceAVG])</f>
        <v/>
      </c>
      <c r="AN2" s="33">
        <f>MAX(Table10[PriceAVG])</f>
        <v/>
      </c>
      <c r="AO2" s="34">
        <f>(Table10[[#This Row],[PriceAVG]]-Table10[[#This Row],[Min]])/(Table10[[#This Row],[Max]]-Table10[[#This Row],[Min]])</f>
        <v/>
      </c>
      <c r="AP2" s="1">
        <f>1-Table10[[#This Row],[Inflation_N]]</f>
        <v/>
      </c>
      <c r="AR2" s="24" t="n">
        <v>828.26</v>
      </c>
      <c r="AS2" s="33">
        <f>MIN(Table11[Precipitation (mm)])</f>
        <v/>
      </c>
      <c r="AT2" s="33">
        <f>MAX(Table11[Precipitation (mm)])</f>
        <v/>
      </c>
      <c r="AU2" s="34">
        <f>(Table11[[#This Row],[Precipitation (mm)]]-Table11[[#This Row],[Min]])/(Table11[[#This Row],[Max]]-Table11[[#This Row],[Min]])</f>
        <v/>
      </c>
    </row>
    <row r="3">
      <c r="A3" s="25">
        <f>518.6*1000</f>
        <v/>
      </c>
      <c r="B3">
        <f>MIN(Table2[Consumption])</f>
        <v/>
      </c>
      <c r="C3" s="25">
        <f>MAX(Table2[Consumption])</f>
        <v/>
      </c>
      <c r="D3" s="35">
        <f>(Table2[[#This Row],[Consumption]]-Table2[[#This Row],[Min]])/(Table2[[#This Row],[Max]]-Table2[[#This Row],[Min]])</f>
        <v/>
      </c>
      <c r="F3" s="25">
        <f>1125.3*1000</f>
        <v/>
      </c>
      <c r="G3" s="25">
        <f>MIN(Table3[Production])</f>
        <v/>
      </c>
      <c r="H3" s="25">
        <f>MAX(Table3[Production])</f>
        <v/>
      </c>
      <c r="I3" s="35">
        <f>(Table3[[#This Row],[Production]]-Table3[[#This Row],[Min]])/(Table3[[#This Row],[Max]]-Table3[[#This Row],[Min]])</f>
        <v/>
      </c>
      <c r="K3" s="25">
        <f>420.7*1000</f>
        <v/>
      </c>
      <c r="L3" s="25">
        <f>MIN(Table4[Exportation])</f>
        <v/>
      </c>
      <c r="M3" s="25">
        <f>MAX(Table4[Exportation])</f>
        <v/>
      </c>
      <c r="N3" s="35">
        <f>(Table4[[#This Row],[Exportation]]-Table4[[#This Row],[Min]])/(Table4[[#This Row],[Max]]-Table4[[#This Row],[Min]])</f>
        <v/>
      </c>
      <c r="P3" s="25">
        <f>151.9*1000</f>
        <v/>
      </c>
      <c r="Q3" s="25">
        <f>MIN(Table5[Importation])</f>
        <v/>
      </c>
      <c r="R3" s="25">
        <f>MAX(Table5[Importation])</f>
        <v/>
      </c>
      <c r="S3" s="35">
        <f>(Table5[[#This Row],[Importation]]-Table5[[#This Row],[Min]])/(Table5[[#This Row],[Max]]-Table5[[#This Row],[Min]])</f>
        <v/>
      </c>
      <c r="T3" s="1">
        <f>1-Table5[[#This Row],[Importation_N]]</f>
        <v/>
      </c>
      <c r="V3" s="26">
        <f>458.2*1000</f>
        <v/>
      </c>
      <c r="W3" s="26">
        <f>MIN(Table6[Production_Olives])</f>
        <v/>
      </c>
      <c r="X3" s="26">
        <f>MAX(Table6[Production_Olives])</f>
        <v/>
      </c>
      <c r="Y3" s="39">
        <f>(Table6[[#This Row],[Production_Olives]]-Table6[[#This Row],[Min]])/(Table6[[#This Row],[Max]]-Table6[[#This Row],[Min]])</f>
        <v/>
      </c>
      <c r="AA3" s="13" t="n">
        <v>0.02</v>
      </c>
      <c r="AB3" s="13">
        <f>MIN(Table8[PIB])</f>
        <v/>
      </c>
      <c r="AC3" s="13">
        <f>MAX(Table8[PIB])</f>
        <v/>
      </c>
      <c r="AD3" s="43">
        <f>(Table8[[#This Row],[PIB]]-Table8[[#This Row],[Min]])/(Table8[[#This Row],[Max]]-Table8[[#This Row],[Min]])</f>
        <v/>
      </c>
      <c r="AF3" s="13" t="n">
        <v>0.007</v>
      </c>
      <c r="AG3" s="13">
        <f>MIN(Table9[Inflation])</f>
        <v/>
      </c>
      <c r="AH3" s="13">
        <f>MAX(Table9[Inflation])</f>
        <v/>
      </c>
      <c r="AI3" s="43">
        <f>(Table9[[#This Row],[Inflation]]-Table9[[#This Row],[Min]])/(Table9[[#This Row],[Max]]-Table9[[#This Row],[Min]])</f>
        <v/>
      </c>
      <c r="AJ3" s="45">
        <f>1-Table9[[#This Row],[Inflation_N]]</f>
        <v/>
      </c>
      <c r="AL3" s="25" t="n">
        <v>184.9668501610679</v>
      </c>
      <c r="AM3" s="25">
        <f>MIN(Table10[PriceAVG])</f>
        <v/>
      </c>
      <c r="AN3" s="25">
        <f>MAX(Table10[PriceAVG])</f>
        <v/>
      </c>
      <c r="AO3" s="35">
        <f>(Table10[[#This Row],[PriceAVG]]-Table10[[#This Row],[Min]])/(Table10[[#This Row],[Max]]-Table10[[#This Row],[Min]])</f>
        <v/>
      </c>
      <c r="AP3" s="1">
        <f>1-Table10[[#This Row],[Inflation_N]]</f>
        <v/>
      </c>
      <c r="AR3" s="25" t="n">
        <v>620.4400000000001</v>
      </c>
      <c r="AS3" s="25">
        <f>MIN(Table11[Precipitation (mm)])</f>
        <v/>
      </c>
      <c r="AT3" s="25">
        <f>MAX(Table11[Precipitation (mm)])</f>
        <v/>
      </c>
      <c r="AU3" s="35">
        <f>(Table11[[#This Row],[Precipitation (mm)]]-Table11[[#This Row],[Min]])/(Table11[[#This Row],[Max]]-Table11[[#This Row],[Min]])</f>
        <v/>
      </c>
    </row>
    <row r="4">
      <c r="A4" s="24">
        <f>541.1*1000</f>
        <v/>
      </c>
      <c r="B4">
        <f>MIN(Table2[Consumption])</f>
        <v/>
      </c>
      <c r="C4" s="25">
        <f>MAX(Table2[Consumption])</f>
        <v/>
      </c>
      <c r="D4" s="35">
        <f>(Table2[[#This Row],[Consumption]]-Table2[[#This Row],[Min]])/(Table2[[#This Row],[Max]]-Table2[[#This Row],[Min]])</f>
        <v/>
      </c>
      <c r="F4" s="24">
        <f>1389*1000</f>
        <v/>
      </c>
      <c r="G4" s="24">
        <f>MIN(Table3[Production])</f>
        <v/>
      </c>
      <c r="H4" s="24">
        <f>MAX(Table3[Production])</f>
        <v/>
      </c>
      <c r="I4" s="35">
        <f>(Table3[[#This Row],[Production]]-Table3[[#This Row],[Min]])/(Table3[[#This Row],[Max]]-Table3[[#This Row],[Min]])</f>
        <v/>
      </c>
      <c r="K4" s="24">
        <f>464.6*1000</f>
        <v/>
      </c>
      <c r="L4" s="25">
        <f>MIN(Table4[Exportation])</f>
        <v/>
      </c>
      <c r="M4" s="25">
        <f>MAX(Table4[Exportation])</f>
        <v/>
      </c>
      <c r="N4" s="35">
        <f>(Table4[[#This Row],[Exportation]]-Table4[[#This Row],[Min]])/(Table4[[#This Row],[Max]]-Table4[[#This Row],[Min]])</f>
        <v/>
      </c>
      <c r="P4" s="24">
        <f>100.7*1000</f>
        <v/>
      </c>
      <c r="Q4" s="25">
        <f>MIN(Table5[Importation])</f>
        <v/>
      </c>
      <c r="R4" s="25">
        <f>MAX(Table5[Importation])</f>
        <v/>
      </c>
      <c r="S4" s="35">
        <f>(Table5[[#This Row],[Importation]]-Table5[[#This Row],[Min]])/(Table5[[#This Row],[Max]]-Table5[[#This Row],[Min]])</f>
        <v/>
      </c>
      <c r="T4" s="1">
        <f>1-Table5[[#This Row],[Importation_N]]</f>
        <v/>
      </c>
      <c r="V4" s="24">
        <f>546.3*1000</f>
        <v/>
      </c>
      <c r="W4" s="26">
        <f>MIN(Table6[Production_Olives])</f>
        <v/>
      </c>
      <c r="X4" s="26">
        <f>MAX(Table6[Production_Olives])</f>
        <v/>
      </c>
      <c r="Y4" s="39">
        <f>(Table6[[#This Row],[Production_Olives]]-Table6[[#This Row],[Min]])/(Table6[[#This Row],[Max]]-Table6[[#This Row],[Min]])</f>
        <v/>
      </c>
      <c r="AA4" s="12" t="n">
        <v>-0.03</v>
      </c>
      <c r="AB4" s="13">
        <f>MIN(Table8[PIB])</f>
        <v/>
      </c>
      <c r="AC4" s="13">
        <f>MAX(Table8[PIB])</f>
        <v/>
      </c>
      <c r="AD4" s="43">
        <f>(Table8[[#This Row],[PIB]]-Table8[[#This Row],[Min]])/(Table8[[#This Row],[Max]]-Table8[[#This Row],[Min]])</f>
        <v/>
      </c>
      <c r="AF4" s="12" t="n">
        <v>-0.003</v>
      </c>
      <c r="AG4" s="13">
        <f>MIN(Table9[Inflation])</f>
        <v/>
      </c>
      <c r="AH4" s="13">
        <f>MAX(Table9[Inflation])</f>
        <v/>
      </c>
      <c r="AI4" s="43">
        <f>(Table9[[#This Row],[Inflation]]-Table9[[#This Row],[Min]])/(Table9[[#This Row],[Max]]-Table9[[#This Row],[Min]])</f>
        <v/>
      </c>
      <c r="AJ4" s="45">
        <f>1-Table9[[#This Row],[Inflation_N]]</f>
        <v/>
      </c>
      <c r="AL4" s="24" t="n">
        <v>164.1204356189602</v>
      </c>
      <c r="AM4" s="25">
        <f>MIN(Table10[PriceAVG])</f>
        <v/>
      </c>
      <c r="AN4" s="25">
        <f>MAX(Table10[PriceAVG])</f>
        <v/>
      </c>
      <c r="AO4" s="35">
        <f>(Table10[[#This Row],[PriceAVG]]-Table10[[#This Row],[Min]])/(Table10[[#This Row],[Max]]-Table10[[#This Row],[Min]])</f>
        <v/>
      </c>
      <c r="AP4" s="1">
        <f>1-Table10[[#This Row],[Inflation_N]]</f>
        <v/>
      </c>
      <c r="AR4" s="24" t="n">
        <v>675.41</v>
      </c>
      <c r="AS4" s="25">
        <f>MIN(Table11[Precipitation (mm)])</f>
        <v/>
      </c>
      <c r="AT4" s="25">
        <f>MAX(Table11[Precipitation (mm)])</f>
        <v/>
      </c>
      <c r="AU4" s="35">
        <f>(Table11[[#This Row],[Precipitation (mm)]]-Table11[[#This Row],[Min]])/(Table11[[#This Row],[Max]]-Table11[[#This Row],[Min]])</f>
        <v/>
      </c>
    </row>
    <row r="5">
      <c r="A5" s="25">
        <f>579.9*1000</f>
        <v/>
      </c>
      <c r="B5">
        <f>MIN(Table2[Consumption])</f>
        <v/>
      </c>
      <c r="C5" s="25">
        <f>MAX(Table2[Consumption])</f>
        <v/>
      </c>
      <c r="D5" s="35">
        <f>(Table2[[#This Row],[Consumption]]-Table2[[#This Row],[Min]])/(Table2[[#This Row],[Max]]-Table2[[#This Row],[Min]])</f>
        <v/>
      </c>
      <c r="F5" s="25">
        <f>1493*1000</f>
        <v/>
      </c>
      <c r="G5" s="25">
        <f>MIN(Table3[Production])</f>
        <v/>
      </c>
      <c r="H5" s="25">
        <f>MAX(Table3[Production])</f>
        <v/>
      </c>
      <c r="I5" s="35">
        <f>(Table3[[#This Row],[Production]]-Table3[[#This Row],[Min]])/(Table3[[#This Row],[Max]]-Table3[[#This Row],[Min]])</f>
        <v/>
      </c>
      <c r="K5" s="25">
        <f>468.1*1000</f>
        <v/>
      </c>
      <c r="L5" s="25">
        <f>MIN(Table4[Exportation])</f>
        <v/>
      </c>
      <c r="M5" s="25">
        <f>MAX(Table4[Exportation])</f>
        <v/>
      </c>
      <c r="N5" s="35">
        <f>(Table4[[#This Row],[Exportation]]-Table4[[#This Row],[Min]])/(Table4[[#This Row],[Max]]-Table4[[#This Row],[Min]])</f>
        <v/>
      </c>
      <c r="P5" s="25">
        <f>85.6*1000</f>
        <v/>
      </c>
      <c r="Q5" s="25">
        <f>MIN(Table5[Importation])</f>
        <v/>
      </c>
      <c r="R5" s="25">
        <f>MAX(Table5[Importation])</f>
        <v/>
      </c>
      <c r="S5" s="35">
        <f>(Table5[[#This Row],[Importation]]-Table5[[#This Row],[Min]])/(Table5[[#This Row],[Max]]-Table5[[#This Row],[Min]])</f>
        <v/>
      </c>
      <c r="T5" s="1">
        <f>1-Table5[[#This Row],[Importation_N]]</f>
        <v/>
      </c>
      <c r="V5" s="25">
        <f>659.3*1000</f>
        <v/>
      </c>
      <c r="W5" s="26">
        <f>MIN(Table6[Production_Olives])</f>
        <v/>
      </c>
      <c r="X5" s="26">
        <f>MAX(Table6[Production_Olives])</f>
        <v/>
      </c>
      <c r="Y5" s="39">
        <f>(Table6[[#This Row],[Production_Olives]]-Table6[[#This Row],[Min]])/(Table6[[#This Row],[Max]]-Table6[[#This Row],[Min]])</f>
        <v/>
      </c>
      <c r="AA5" s="13" t="n">
        <v>0.051</v>
      </c>
      <c r="AB5" s="13">
        <f>MIN(Table8[PIB])</f>
        <v/>
      </c>
      <c r="AC5" s="13">
        <f>MAX(Table8[PIB])</f>
        <v/>
      </c>
      <c r="AD5" s="43">
        <f>(Table8[[#This Row],[PIB]]-Table8[[#This Row],[Min]])/(Table8[[#This Row],[Max]]-Table8[[#This Row],[Min]])</f>
        <v/>
      </c>
      <c r="AF5" s="13" t="n">
        <v>0.031</v>
      </c>
      <c r="AG5" s="13">
        <f>MIN(Table9[Inflation])</f>
        <v/>
      </c>
      <c r="AH5" s="13">
        <f>MAX(Table9[Inflation])</f>
        <v/>
      </c>
      <c r="AI5" s="43">
        <f>(Table9[[#This Row],[Inflation]]-Table9[[#This Row],[Min]])/(Table9[[#This Row],[Max]]-Table9[[#This Row],[Min]])</f>
        <v/>
      </c>
      <c r="AJ5" s="45">
        <f>1-Table9[[#This Row],[Inflation_N]]</f>
        <v/>
      </c>
      <c r="AL5" s="25" t="n">
        <v>253.7559459459457</v>
      </c>
      <c r="AM5" s="25">
        <f>MIN(Table10[PriceAVG])</f>
        <v/>
      </c>
      <c r="AN5" s="25">
        <f>MAX(Table10[PriceAVG])</f>
        <v/>
      </c>
      <c r="AO5" s="35">
        <f>(Table10[[#This Row],[PriceAVG]]-Table10[[#This Row],[Min]])/(Table10[[#This Row],[Max]]-Table10[[#This Row],[Min]])</f>
        <v/>
      </c>
      <c r="AP5" s="1">
        <f>1-Table10[[#This Row],[Inflation_N]]</f>
        <v/>
      </c>
      <c r="AR5" s="25" t="n">
        <v>661.64</v>
      </c>
      <c r="AS5" s="25">
        <f>MIN(Table11[Precipitation (mm)])</f>
        <v/>
      </c>
      <c r="AT5" s="25">
        <f>MAX(Table11[Precipitation (mm)])</f>
        <v/>
      </c>
      <c r="AU5" s="35">
        <f>(Table11[[#This Row],[Precipitation (mm)]]-Table11[[#This Row],[Min]])/(Table11[[#This Row],[Max]]-Table11[[#This Row],[Min]])</f>
        <v/>
      </c>
    </row>
    <row r="6">
      <c r="A6" s="24">
        <f>363.2*1000</f>
        <v/>
      </c>
      <c r="B6">
        <f>MIN(Table2[Consumption])</f>
        <v/>
      </c>
      <c r="C6" s="25">
        <f>MAX(Table2[Consumption])</f>
        <v/>
      </c>
      <c r="D6" s="35">
        <f>(Table2[[#This Row],[Consumption]]-Table2[[#This Row],[Min]])/(Table2[[#This Row],[Max]]-Table2[[#This Row],[Min]])</f>
        <v/>
      </c>
      <c r="F6" s="24">
        <f>665.8*1000</f>
        <v/>
      </c>
      <c r="G6" s="24">
        <f>MIN(Table3[Production])</f>
        <v/>
      </c>
      <c r="H6" s="24">
        <f>MAX(Table3[Production])</f>
        <v/>
      </c>
      <c r="I6" s="35">
        <f>(Table3[[#This Row],[Production]]-Table3[[#This Row],[Min]])/(Table3[[#This Row],[Max]]-Table3[[#This Row],[Min]])</f>
        <v/>
      </c>
      <c r="K6" s="24">
        <f>316.5*1000</f>
        <v/>
      </c>
      <c r="L6" s="25">
        <f>MIN(Table4[Exportation])</f>
        <v/>
      </c>
      <c r="M6" s="25">
        <f>MAX(Table4[Exportation])</f>
        <v/>
      </c>
      <c r="N6" s="35">
        <f>(Table4[[#This Row],[Exportation]]-Table4[[#This Row],[Min]])/(Table4[[#This Row],[Max]]-Table4[[#This Row],[Min]])</f>
        <v/>
      </c>
      <c r="P6" s="24">
        <f>97.8*1000</f>
        <v/>
      </c>
      <c r="Q6" s="25">
        <f>MIN(Table5[Importation])</f>
        <v/>
      </c>
      <c r="R6" s="25">
        <f>MAX(Table5[Importation])</f>
        <v/>
      </c>
      <c r="S6" s="35">
        <f>(Table5[[#This Row],[Importation]]-Table5[[#This Row],[Min]])/(Table5[[#This Row],[Max]]-Table5[[#This Row],[Min]])</f>
        <v/>
      </c>
      <c r="T6" s="1">
        <f>1-Table5[[#This Row],[Importation_N]]</f>
        <v/>
      </c>
      <c r="V6" s="24">
        <f>414.1*1000</f>
        <v/>
      </c>
      <c r="W6" s="26">
        <f>MIN(Table6[Production_Olives])</f>
        <v/>
      </c>
      <c r="X6" s="26">
        <f>MAX(Table6[Production_Olives])</f>
        <v/>
      </c>
      <c r="Y6" s="39">
        <f>(Table6[[#This Row],[Production_Olives]]-Table6[[#This Row],[Min]])/(Table6[[#This Row],[Max]]-Table6[[#This Row],[Min]])</f>
        <v/>
      </c>
      <c r="AA6" s="12" t="n">
        <v>0.055</v>
      </c>
      <c r="AB6" s="13">
        <f>MIN(Table8[PIB])</f>
        <v/>
      </c>
      <c r="AC6" s="13">
        <f>MAX(Table8[PIB])</f>
        <v/>
      </c>
      <c r="AD6" s="43">
        <f>(Table8[[#This Row],[PIB]]-Table8[[#This Row],[Min]])/(Table8[[#This Row],[Max]]-Table8[[#This Row],[Min]])</f>
        <v/>
      </c>
      <c r="AF6" s="12" t="n">
        <v>0.08400000000000001</v>
      </c>
      <c r="AG6" s="13">
        <f>MIN(Table9[Inflation])</f>
        <v/>
      </c>
      <c r="AH6" s="13">
        <f>MAX(Table9[Inflation])</f>
        <v/>
      </c>
      <c r="AI6" s="43">
        <f>(Table9[[#This Row],[Inflation]]-Table9[[#This Row],[Min]])/(Table9[[#This Row],[Max]]-Table9[[#This Row],[Min]])</f>
        <v/>
      </c>
      <c r="AJ6" s="45">
        <f>1-Table9[[#This Row],[Inflation_N]]</f>
        <v/>
      </c>
      <c r="AL6" s="24" t="n">
        <v>341.3670419161679</v>
      </c>
      <c r="AM6" s="25">
        <f>MIN(Table10[PriceAVG])</f>
        <v/>
      </c>
      <c r="AN6" s="25">
        <f>MAX(Table10[PriceAVG])</f>
        <v/>
      </c>
      <c r="AO6" s="35">
        <f>(Table10[[#This Row],[PriceAVG]]-Table10[[#This Row],[Min]])/(Table10[[#This Row],[Max]]-Table10[[#This Row],[Min]])</f>
        <v/>
      </c>
      <c r="AP6" s="1">
        <f>1-Table10[[#This Row],[Inflation_N]]</f>
        <v/>
      </c>
      <c r="AR6" s="24" t="n">
        <v>638.66</v>
      </c>
      <c r="AS6" s="25">
        <f>MIN(Table11[Precipitation (mm)])</f>
        <v/>
      </c>
      <c r="AT6" s="25">
        <f>MAX(Table11[Precipitation (mm)])</f>
        <v/>
      </c>
      <c r="AU6" s="35">
        <f>(Table11[[#This Row],[Precipitation (mm)]]-Table11[[#This Row],[Min]])/(Table11[[#This Row],[Max]]-Table11[[#This Row],[Min]])</f>
        <v/>
      </c>
    </row>
    <row r="7">
      <c r="A7" s="25">
        <f>402.3*1000</f>
        <v/>
      </c>
      <c r="B7">
        <f>MIN(Table2[Consumption])</f>
        <v/>
      </c>
      <c r="C7" s="25">
        <f>MAX(Table2[Consumption])</f>
        <v/>
      </c>
      <c r="D7" s="35">
        <f>(Table2[[#This Row],[Consumption]]-Table2[[#This Row],[Min]])/(Table2[[#This Row],[Max]]-Table2[[#This Row],[Min]])</f>
        <v/>
      </c>
      <c r="F7" s="25">
        <f>854*1000</f>
        <v/>
      </c>
      <c r="G7" s="25">
        <f>MIN(Table3[Production])</f>
        <v/>
      </c>
      <c r="H7" s="25">
        <f>MAX(Table3[Production])</f>
        <v/>
      </c>
      <c r="I7" s="35">
        <f>(Table3[[#This Row],[Production]]-Table3[[#This Row],[Min]])/(Table3[[#This Row],[Max]]-Table3[[#This Row],[Min]])</f>
        <v/>
      </c>
      <c r="K7" s="25">
        <f>332.4*1000</f>
        <v/>
      </c>
      <c r="L7" s="25">
        <f>MIN(Table4[Exportation])</f>
        <v/>
      </c>
      <c r="M7" s="25">
        <f>MAX(Table4[Exportation])</f>
        <v/>
      </c>
      <c r="N7" s="35">
        <f>(Table4[[#This Row],[Exportation]]-Table4[[#This Row],[Min]])/(Table4[[#This Row],[Max]]-Table4[[#This Row],[Min]])</f>
        <v/>
      </c>
      <c r="P7" s="25">
        <f>108.6*1000</f>
        <v/>
      </c>
      <c r="Q7" s="25">
        <f>MIN(Table5[Importation])</f>
        <v/>
      </c>
      <c r="R7" s="25">
        <f>MAX(Table5[Importation])</f>
        <v/>
      </c>
      <c r="S7" s="35">
        <f>(Table5[[#This Row],[Importation]]-Table5[[#This Row],[Min]])/(Table5[[#This Row],[Max]]-Table5[[#This Row],[Min]])</f>
        <v/>
      </c>
      <c r="T7" s="1">
        <f>1-Table5[[#This Row],[Importation_N]]</f>
        <v/>
      </c>
      <c r="V7" s="25">
        <f>407.4*1000</f>
        <v/>
      </c>
      <c r="W7" s="26">
        <f>MIN(Table6[Production_Olives])</f>
        <v/>
      </c>
      <c r="X7" s="26">
        <f>MAX(Table6[Production_Olives])</f>
        <v/>
      </c>
      <c r="Y7" s="39">
        <f>(Table6[[#This Row],[Production_Olives]]-Table6[[#This Row],[Min]])/(Table6[[#This Row],[Max]]-Table6[[#This Row],[Min]])</f>
        <v/>
      </c>
      <c r="AA7" s="13" t="n">
        <v>0.028</v>
      </c>
      <c r="AB7" s="13">
        <f>MIN(Table8[PIB])</f>
        <v/>
      </c>
      <c r="AC7" s="13">
        <f>MAX(Table8[PIB])</f>
        <v/>
      </c>
      <c r="AD7" s="43">
        <f>(Table8[[#This Row],[PIB]]-Table8[[#This Row],[Min]])/(Table8[[#This Row],[Max]]-Table8[[#This Row],[Min]])</f>
        <v/>
      </c>
      <c r="AF7" s="13" t="n">
        <v>0.035</v>
      </c>
      <c r="AG7" s="13">
        <f>MIN(Table9[Inflation])</f>
        <v/>
      </c>
      <c r="AH7" s="13">
        <f>MAX(Table9[Inflation])</f>
        <v/>
      </c>
      <c r="AI7" s="43">
        <f>(Table9[[#This Row],[Inflation]]-Table9[[#This Row],[Min]])/(Table9[[#This Row],[Max]]-Table9[[#This Row],[Min]])</f>
        <v/>
      </c>
      <c r="AJ7" s="45">
        <f>1-Table9[[#This Row],[Inflation_N]]</f>
        <v/>
      </c>
      <c r="AL7" s="25" t="n">
        <v>561.969357311321</v>
      </c>
      <c r="AM7" s="25">
        <f>MIN(Table10[PriceAVG])</f>
        <v/>
      </c>
      <c r="AN7" s="25">
        <f>MAX(Table10[PriceAVG])</f>
        <v/>
      </c>
      <c r="AO7" s="35">
        <f>(Table10[[#This Row],[PriceAVG]]-Table10[[#This Row],[Min]])/(Table10[[#This Row],[Max]]-Table10[[#This Row],[Min]])</f>
        <v/>
      </c>
      <c r="AP7" s="1">
        <f>1-Table10[[#This Row],[Inflation_N]]</f>
        <v/>
      </c>
      <c r="AR7" s="25" t="n">
        <v>582.9</v>
      </c>
      <c r="AS7" s="25">
        <f>MIN(Table11[Precipitation (mm)])</f>
        <v/>
      </c>
      <c r="AT7" s="25">
        <f>MAX(Table11[Precipitation (mm)])</f>
        <v/>
      </c>
      <c r="AU7" s="35">
        <f>(Table11[[#This Row],[Precipitation (mm)]]-Table11[[#This Row],[Min]])/(Table11[[#This Row],[Max]]-Table11[[#This Row],[Min]])</f>
        <v/>
      </c>
    </row>
    <row r="8">
      <c r="A8" s="24">
        <f>460*1000</f>
        <v/>
      </c>
      <c r="B8">
        <f>MIN(Table2[Consumption])</f>
        <v/>
      </c>
      <c r="C8" s="25">
        <f>MAX(Table2[Consumption])</f>
        <v/>
      </c>
      <c r="D8" s="35">
        <f>(Table2[[#This Row],[Consumption]]-Table2[[#This Row],[Min]])/(Table2[[#This Row],[Max]]-Table2[[#This Row],[Min]])</f>
        <v/>
      </c>
      <c r="F8" s="24">
        <f>1289.9*1000</f>
        <v/>
      </c>
      <c r="G8" s="24">
        <f>MIN(Table3[Production])</f>
        <v/>
      </c>
      <c r="H8" s="24">
        <f>MAX(Table3[Production])</f>
        <v/>
      </c>
      <c r="I8" s="35">
        <f>(Table3[[#This Row],[Production]]-Table3[[#This Row],[Min]])/(Table3[[#This Row],[Max]]-Table3[[#This Row],[Min]])</f>
        <v/>
      </c>
      <c r="K8" s="24">
        <f>415.5*1000</f>
        <v/>
      </c>
      <c r="L8" s="25">
        <f>MIN(Table4[Exportation])</f>
        <v/>
      </c>
      <c r="M8" s="25">
        <f>MAX(Table4[Exportation])</f>
        <v/>
      </c>
      <c r="N8" s="35">
        <f>(Table4[[#This Row],[Exportation]]-Table4[[#This Row],[Min]])/(Table4[[#This Row],[Max]]-Table4[[#This Row],[Min]])</f>
        <v/>
      </c>
      <c r="P8" s="24">
        <f>92.8*1000</f>
        <v/>
      </c>
      <c r="Q8" s="25">
        <f>MIN(Table5[Importation])</f>
        <v/>
      </c>
      <c r="R8" s="25">
        <f>MAX(Table5[Importation])</f>
        <v/>
      </c>
      <c r="S8" s="35">
        <f>(Table5[[#This Row],[Importation]]-Table5[[#This Row],[Min]])/(Table5[[#This Row],[Max]]-Table5[[#This Row],[Min]])</f>
        <v/>
      </c>
      <c r="T8" s="1">
        <f>1-Table5[[#This Row],[Importation_N]]</f>
        <v/>
      </c>
      <c r="V8" s="24">
        <f>468.3*1000</f>
        <v/>
      </c>
      <c r="W8" s="26">
        <f>MIN(Table6[Production_Olives])</f>
        <v/>
      </c>
      <c r="X8" s="26">
        <f>MAX(Table6[Production_Olives])</f>
        <v/>
      </c>
      <c r="Y8" s="39">
        <f>(Table6[[#This Row],[Production_Olives]]-Table6[[#This Row],[Min]])/(Table6[[#This Row],[Max]]-Table6[[#This Row],[Min]])</f>
        <v/>
      </c>
      <c r="AA8" s="12" t="n">
        <v>0.032</v>
      </c>
      <c r="AB8" s="13">
        <f>MIN(Table8[PIB])</f>
        <v/>
      </c>
      <c r="AC8" s="13">
        <f>MAX(Table8[PIB])</f>
        <v/>
      </c>
      <c r="AD8" s="43">
        <f>(Table8[[#This Row],[PIB]]-Table8[[#This Row],[Min]])/(Table8[[#This Row],[Max]]-Table8[[#This Row],[Min]])</f>
        <v/>
      </c>
      <c r="AF8" s="12" t="n">
        <v>0.028</v>
      </c>
      <c r="AG8" s="13">
        <f>MIN(Table9[Inflation])</f>
        <v/>
      </c>
      <c r="AH8" s="13">
        <f>MAX(Table9[Inflation])</f>
        <v/>
      </c>
      <c r="AI8" s="43">
        <f>(Table9[[#This Row],[Inflation]]-Table9[[#This Row],[Min]])/(Table9[[#This Row],[Max]]-Table9[[#This Row],[Min]])</f>
        <v/>
      </c>
      <c r="AJ8" s="45">
        <f>1-Table9[[#This Row],[Inflation_N]]</f>
        <v/>
      </c>
      <c r="AL8" s="24" t="n">
        <v>630.1010757211538</v>
      </c>
      <c r="AM8" s="25">
        <f>MIN(Table10[PriceAVG])</f>
        <v/>
      </c>
      <c r="AN8" s="25">
        <f>MAX(Table10[PriceAVG])</f>
        <v/>
      </c>
      <c r="AO8" s="35">
        <f>(Table10[[#This Row],[PriceAVG]]-Table10[[#This Row],[Min]])/(Table10[[#This Row],[Max]]-Table10[[#This Row],[Min]])</f>
        <v/>
      </c>
      <c r="AP8" s="1">
        <f>1-Table10[[#This Row],[Inflation_N]]</f>
        <v/>
      </c>
      <c r="AR8" s="24" t="n">
        <v>705.35</v>
      </c>
      <c r="AS8" s="25">
        <f>MIN(Table11[Precipitation (mm)])</f>
        <v/>
      </c>
      <c r="AT8" s="25">
        <f>MAX(Table11[Precipitation (mm)])</f>
        <v/>
      </c>
      <c r="AU8" s="35">
        <f>(Table11[[#This Row],[Precipitation (mm)]]-Table11[[#This Row],[Min]])/(Table11[[#This Row],[Max]]-Table11[[#This Row],[Min]])</f>
        <v/>
      </c>
    </row>
    <row r="9">
      <c r="A9" s="25">
        <f>54.4*1000</f>
        <v/>
      </c>
      <c r="B9">
        <f>MIN(Table2[Consumption])</f>
        <v/>
      </c>
      <c r="C9" s="25">
        <f>MAX(Table2[Consumption])</f>
        <v/>
      </c>
      <c r="D9" s="35">
        <f>(Table2[[#This Row],[Consumption]]-Table2[[#This Row],[Min]])/(Table2[[#This Row],[Max]]-Table2[[#This Row],[Min]])</f>
        <v/>
      </c>
      <c r="F9" s="25">
        <f>100.3*1000</f>
        <v/>
      </c>
      <c r="G9" s="25">
        <f>MIN(Table3[Production])</f>
        <v/>
      </c>
      <c r="H9" s="25">
        <f>MAX(Table3[Production])</f>
        <v/>
      </c>
      <c r="I9" s="35">
        <f>(Table3[[#This Row],[Production]]-Table3[[#This Row],[Min]])/(Table3[[#This Row],[Max]]-Table3[[#This Row],[Min]])</f>
        <v/>
      </c>
      <c r="K9" s="25">
        <f>64.9*1000</f>
        <v/>
      </c>
      <c r="L9" s="25">
        <f>MIN(Table4[Exportation])</f>
        <v/>
      </c>
      <c r="M9" s="25">
        <f>MAX(Table4[Exportation])</f>
        <v/>
      </c>
      <c r="N9" s="35">
        <f>(Table4[[#This Row],[Exportation]]-Table4[[#This Row],[Min]])/(Table4[[#This Row],[Max]]-Table4[[#This Row],[Min]])</f>
        <v/>
      </c>
      <c r="P9" s="25">
        <f>0.7*1000</f>
        <v/>
      </c>
      <c r="Q9" s="25">
        <f>MIN(Table5[Importation])</f>
        <v/>
      </c>
      <c r="R9" s="25">
        <f>MAX(Table5[Importation])</f>
        <v/>
      </c>
      <c r="S9" s="35">
        <f>(Table5[[#This Row],[Importation]]-Table5[[#This Row],[Min]])/(Table5[[#This Row],[Max]]-Table5[[#This Row],[Min]])</f>
        <v/>
      </c>
      <c r="T9" s="1">
        <f>1-Table5[[#This Row],[Importation_N]]</f>
        <v/>
      </c>
      <c r="V9" s="26">
        <f>22.5*1000</f>
        <v/>
      </c>
      <c r="W9" s="26">
        <f>MIN(Table6[Production_Olives])</f>
        <v/>
      </c>
      <c r="X9" s="26">
        <f>MAX(Table6[Production_Olives])</f>
        <v/>
      </c>
      <c r="Y9" s="39">
        <f>(Table6[[#This Row],[Production_Olives]]-Table6[[#This Row],[Min]])/(Table6[[#This Row],[Max]]-Table6[[#This Row],[Min]])</f>
        <v/>
      </c>
      <c r="AA9" s="13" t="n">
        <v>0.029</v>
      </c>
      <c r="AB9" s="13">
        <f>MIN(Table8[PIB])</f>
        <v/>
      </c>
      <c r="AC9" s="13">
        <f>MAX(Table8[PIB])</f>
        <v/>
      </c>
      <c r="AD9" s="43">
        <f>(Table8[[#This Row],[PIB]]-Table8[[#This Row],[Min]])/(Table8[[#This Row],[Max]]-Table8[[#This Row],[Min]])</f>
        <v/>
      </c>
      <c r="AF9" s="13" t="n">
        <v>0.01</v>
      </c>
      <c r="AG9" s="13">
        <f>MIN(Table9[Inflation])</f>
        <v/>
      </c>
      <c r="AH9" s="13">
        <f>MAX(Table9[Inflation])</f>
        <v/>
      </c>
      <c r="AI9" s="43">
        <f>(Table9[[#This Row],[Inflation]]-Table9[[#This Row],[Min]])/(Table9[[#This Row],[Max]]-Table9[[#This Row],[Min]])</f>
        <v/>
      </c>
      <c r="AJ9" s="45">
        <f>1-Table9[[#This Row],[Inflation_N]]</f>
        <v/>
      </c>
      <c r="AL9" s="25" t="n">
        <v>309.5344827586207</v>
      </c>
      <c r="AM9" s="25">
        <f>MIN(Table10[PriceAVG])</f>
        <v/>
      </c>
      <c r="AN9" s="25">
        <f>MAX(Table10[PriceAVG])</f>
        <v/>
      </c>
      <c r="AO9" s="35">
        <f>(Table10[[#This Row],[PriceAVG]]-Table10[[#This Row],[Min]])/(Table10[[#This Row],[Max]]-Table10[[#This Row],[Min]])</f>
        <v/>
      </c>
      <c r="AP9" s="1">
        <f>1-Table10[[#This Row],[Inflation_N]]</f>
        <v/>
      </c>
      <c r="AR9" s="25" t="n">
        <v>886.88</v>
      </c>
      <c r="AS9" s="25">
        <f>MIN(Table11[Precipitation (mm)])</f>
        <v/>
      </c>
      <c r="AT9" s="25">
        <f>MAX(Table11[Precipitation (mm)])</f>
        <v/>
      </c>
      <c r="AU9" s="35">
        <f>(Table11[[#This Row],[Precipitation (mm)]]-Table11[[#This Row],[Min]])/(Table11[[#This Row],[Max]]-Table11[[#This Row],[Min]])</f>
        <v/>
      </c>
    </row>
    <row r="10">
      <c r="A10" s="24">
        <f>71.6*1000</f>
        <v/>
      </c>
      <c r="B10">
        <f>MIN(Table2[Consumption])</f>
        <v/>
      </c>
      <c r="C10" s="25">
        <f>MAX(Table2[Consumption])</f>
        <v/>
      </c>
      <c r="D10" s="35">
        <f>(Table2[[#This Row],[Consumption]]-Table2[[#This Row],[Min]])/(Table2[[#This Row],[Max]]-Table2[[#This Row],[Min]])</f>
        <v/>
      </c>
      <c r="F10" s="24">
        <f>140.5*1000</f>
        <v/>
      </c>
      <c r="G10" s="24">
        <f>MIN(Table3[Production])</f>
        <v/>
      </c>
      <c r="H10" s="24">
        <f>MAX(Table3[Production])</f>
        <v/>
      </c>
      <c r="I10" s="35">
        <f>(Table3[[#This Row],[Production]]-Table3[[#This Row],[Min]])/(Table3[[#This Row],[Max]]-Table3[[#This Row],[Min]])</f>
        <v/>
      </c>
      <c r="K10" s="24">
        <f>80.2*1000</f>
        <v/>
      </c>
      <c r="L10" s="25">
        <f>MIN(Table4[Exportation])</f>
        <v/>
      </c>
      <c r="M10" s="25">
        <f>MAX(Table4[Exportation])</f>
        <v/>
      </c>
      <c r="N10" s="35">
        <f>(Table4[[#This Row],[Exportation]]-Table4[[#This Row],[Min]])/(Table4[[#This Row],[Max]]-Table4[[#This Row],[Min]])</f>
        <v/>
      </c>
      <c r="P10" s="24">
        <f>2.3*1000</f>
        <v/>
      </c>
      <c r="Q10" s="25">
        <f>MIN(Table5[Importation])</f>
        <v/>
      </c>
      <c r="R10" s="25">
        <f>MAX(Table5[Importation])</f>
        <v/>
      </c>
      <c r="S10" s="35">
        <f>(Table5[[#This Row],[Importation]]-Table5[[#This Row],[Min]])/(Table5[[#This Row],[Max]]-Table5[[#This Row],[Min]])</f>
        <v/>
      </c>
      <c r="T10" s="1">
        <f>1-Table5[[#This Row],[Importation_N]]</f>
        <v/>
      </c>
      <c r="V10" s="27">
        <f>24.7*1000</f>
        <v/>
      </c>
      <c r="W10" s="26">
        <f>MIN(Table6[Production_Olives])</f>
        <v/>
      </c>
      <c r="X10" s="26">
        <f>MAX(Table6[Production_Olives])</f>
        <v/>
      </c>
      <c r="Y10" s="39">
        <f>(Table6[[#This Row],[Production_Olives]]-Table6[[#This Row],[Min]])/(Table6[[#This Row],[Max]]-Table6[[#This Row],[Min]])</f>
        <v/>
      </c>
      <c r="AA10" s="12" t="n">
        <v>0.027</v>
      </c>
      <c r="AB10" s="13">
        <f>MIN(Table8[PIB])</f>
        <v/>
      </c>
      <c r="AC10" s="13">
        <f>MAX(Table8[PIB])</f>
        <v/>
      </c>
      <c r="AD10" s="43">
        <f>(Table8[[#This Row],[PIB]]-Table8[[#This Row],[Min]])/(Table8[[#This Row],[Max]]-Table8[[#This Row],[Min]])</f>
        <v/>
      </c>
      <c r="AF10" s="12" t="n">
        <v>0.003</v>
      </c>
      <c r="AG10" s="13">
        <f>MIN(Table9[Inflation])</f>
        <v/>
      </c>
      <c r="AH10" s="13">
        <f>MAX(Table9[Inflation])</f>
        <v/>
      </c>
      <c r="AI10" s="43">
        <f>(Table9[[#This Row],[Inflation]]-Table9[[#This Row],[Min]])/(Table9[[#This Row],[Max]]-Table9[[#This Row],[Min]])</f>
        <v/>
      </c>
      <c r="AJ10" s="45">
        <f>1-Table9[[#This Row],[Inflation_N]]</f>
        <v/>
      </c>
      <c r="AL10" s="24" t="n">
        <v>270.4256756756757</v>
      </c>
      <c r="AM10" s="25">
        <f>MIN(Table10[PriceAVG])</f>
        <v/>
      </c>
      <c r="AN10" s="25">
        <f>MAX(Table10[PriceAVG])</f>
        <v/>
      </c>
      <c r="AO10" s="35">
        <f>(Table10[[#This Row],[PriceAVG]]-Table10[[#This Row],[Min]])/(Table10[[#This Row],[Max]]-Table10[[#This Row],[Min]])</f>
        <v/>
      </c>
      <c r="AP10" s="1">
        <f>1-Table10[[#This Row],[Inflation_N]]</f>
        <v/>
      </c>
      <c r="AR10" s="24" t="n">
        <v>703.53</v>
      </c>
      <c r="AS10" s="25">
        <f>MIN(Table11[Precipitation (mm)])</f>
        <v/>
      </c>
      <c r="AT10" s="25">
        <f>MAX(Table11[Precipitation (mm)])</f>
        <v/>
      </c>
      <c r="AU10" s="35">
        <f>(Table11[[#This Row],[Precipitation (mm)]]-Table11[[#This Row],[Min]])/(Table11[[#This Row],[Max]]-Table11[[#This Row],[Min]])</f>
        <v/>
      </c>
    </row>
    <row r="11">
      <c r="A11" s="25">
        <f>61.8*1000</f>
        <v/>
      </c>
      <c r="B11">
        <f>MIN(Table2[Consumption])</f>
        <v/>
      </c>
      <c r="C11" s="25">
        <f>MAX(Table2[Consumption])</f>
        <v/>
      </c>
      <c r="D11" s="35">
        <f>(Table2[[#This Row],[Consumption]]-Table2[[#This Row],[Min]])/(Table2[[#This Row],[Max]]-Table2[[#This Row],[Min]])</f>
        <v/>
      </c>
      <c r="F11" s="25">
        <f>100*1000</f>
        <v/>
      </c>
      <c r="G11" s="25">
        <f>MIN(Table3[Production])</f>
        <v/>
      </c>
      <c r="H11" s="25">
        <f>MAX(Table3[Production])</f>
        <v/>
      </c>
      <c r="I11" s="35">
        <f>(Table3[[#This Row],[Production]]-Table3[[#This Row],[Min]])/(Table3[[#This Row],[Max]]-Table3[[#This Row],[Min]])</f>
        <v/>
      </c>
      <c r="K11" s="25">
        <f>76.1*1000</f>
        <v/>
      </c>
      <c r="L11" s="25">
        <f>MIN(Table4[Exportation])</f>
        <v/>
      </c>
      <c r="M11" s="25">
        <f>MAX(Table4[Exportation])</f>
        <v/>
      </c>
      <c r="N11" s="35">
        <f>(Table4[[#This Row],[Exportation]]-Table4[[#This Row],[Min]])/(Table4[[#This Row],[Max]]-Table4[[#This Row],[Min]])</f>
        <v/>
      </c>
      <c r="P11" s="25">
        <f>0.4*1000</f>
        <v/>
      </c>
      <c r="Q11" s="25">
        <f>MIN(Table5[Importation])</f>
        <v/>
      </c>
      <c r="R11" s="25">
        <f>MAX(Table5[Importation])</f>
        <v/>
      </c>
      <c r="S11" s="35">
        <f>(Table5[[#This Row],[Importation]]-Table5[[#This Row],[Min]])/(Table5[[#This Row],[Max]]-Table5[[#This Row],[Min]])</f>
        <v/>
      </c>
      <c r="T11" s="1">
        <f>1-Table5[[#This Row],[Importation_N]]</f>
        <v/>
      </c>
      <c r="V11" s="26">
        <f>15.6*1000</f>
        <v/>
      </c>
      <c r="W11" s="26">
        <f>MIN(Table6[Production_Olives])</f>
        <v/>
      </c>
      <c r="X11" s="26">
        <f>MAX(Table6[Production_Olives])</f>
        <v/>
      </c>
      <c r="Y11" s="39">
        <f>(Table6[[#This Row],[Production_Olives]]-Table6[[#This Row],[Min]])/(Table6[[#This Row],[Max]]-Table6[[#This Row],[Min]])</f>
        <v/>
      </c>
      <c r="AA11" s="13" t="n">
        <v>-0.082</v>
      </c>
      <c r="AB11" s="13">
        <f>MIN(Table8[PIB])</f>
        <v/>
      </c>
      <c r="AC11" s="13">
        <f>MAX(Table8[PIB])</f>
        <v/>
      </c>
      <c r="AD11" s="43">
        <f>(Table8[[#This Row],[PIB]]-Table8[[#This Row],[Min]])/(Table8[[#This Row],[Max]]-Table8[[#This Row],[Min]])</f>
        <v/>
      </c>
      <c r="AF11" s="13" t="n">
        <v>0</v>
      </c>
      <c r="AG11" s="13">
        <f>MIN(Table9[Inflation])</f>
        <v/>
      </c>
      <c r="AH11" s="13">
        <f>MAX(Table9[Inflation])</f>
        <v/>
      </c>
      <c r="AI11" s="43">
        <f>(Table9[[#This Row],[Inflation]]-Table9[[#This Row],[Min]])/(Table9[[#This Row],[Max]]-Table9[[#This Row],[Min]])</f>
        <v/>
      </c>
      <c r="AJ11" s="45">
        <f>1-Table9[[#This Row],[Inflation_N]]</f>
        <v/>
      </c>
      <c r="AL11" s="25" t="n">
        <v>239.9397590361446</v>
      </c>
      <c r="AM11" s="25">
        <f>MIN(Table10[PriceAVG])</f>
        <v/>
      </c>
      <c r="AN11" s="25">
        <f>MAX(Table10[PriceAVG])</f>
        <v/>
      </c>
      <c r="AO11" s="35">
        <f>(Table10[[#This Row],[PriceAVG]]-Table10[[#This Row],[Min]])/(Table10[[#This Row],[Max]]-Table10[[#This Row],[Min]])</f>
        <v/>
      </c>
      <c r="AP11" s="1">
        <f>1-Table10[[#This Row],[Inflation_N]]</f>
        <v/>
      </c>
      <c r="AR11" s="25" t="n">
        <v>710.88</v>
      </c>
      <c r="AS11" s="25">
        <f>MIN(Table11[Precipitation (mm)])</f>
        <v/>
      </c>
      <c r="AT11" s="25">
        <f>MAX(Table11[Precipitation (mm)])</f>
        <v/>
      </c>
      <c r="AU11" s="35">
        <f>(Table11[[#This Row],[Precipitation (mm)]]-Table11[[#This Row],[Min]])/(Table11[[#This Row],[Max]]-Table11[[#This Row],[Min]])</f>
        <v/>
      </c>
    </row>
    <row r="12">
      <c r="A12" s="24">
        <f>59.3*1000</f>
        <v/>
      </c>
      <c r="B12">
        <f>MIN(Table2[Consumption])</f>
        <v/>
      </c>
      <c r="C12" s="25">
        <f>MAX(Table2[Consumption])</f>
        <v/>
      </c>
      <c r="D12" s="35">
        <f>(Table2[[#This Row],[Consumption]]-Table2[[#This Row],[Min]])/(Table2[[#This Row],[Max]]-Table2[[#This Row],[Min]])</f>
        <v/>
      </c>
      <c r="F12" s="24">
        <f>206.2*1000</f>
        <v/>
      </c>
      <c r="G12" s="24">
        <f>MIN(Table3[Production])</f>
        <v/>
      </c>
      <c r="H12" s="24">
        <f>MAX(Table3[Production])</f>
        <v/>
      </c>
      <c r="I12" s="35">
        <f>(Table3[[#This Row],[Production]]-Table3[[#This Row],[Min]])/(Table3[[#This Row],[Max]]-Table3[[#This Row],[Min]])</f>
        <v/>
      </c>
      <c r="K12" s="24">
        <f>72.7*1000</f>
        <v/>
      </c>
      <c r="L12" s="25">
        <f>MIN(Table4[Exportation])</f>
        <v/>
      </c>
      <c r="M12" s="25">
        <f>MAX(Table4[Exportation])</f>
        <v/>
      </c>
      <c r="N12" s="35">
        <f>(Table4[[#This Row],[Exportation]]-Table4[[#This Row],[Min]])/(Table4[[#This Row],[Max]]-Table4[[#This Row],[Min]])</f>
        <v/>
      </c>
      <c r="P12" s="24">
        <f>0*1000</f>
        <v/>
      </c>
      <c r="Q12" s="25">
        <f>MIN(Table5[Importation])</f>
        <v/>
      </c>
      <c r="R12" s="25">
        <f>MAX(Table5[Importation])</f>
        <v/>
      </c>
      <c r="S12" s="35">
        <f>(Table5[[#This Row],[Importation]]-Table5[[#This Row],[Min]])/(Table5[[#This Row],[Max]]-Table5[[#This Row],[Min]])</f>
        <v/>
      </c>
      <c r="T12" s="1">
        <f>1-Table5[[#This Row],[Importation_N]]</f>
        <v/>
      </c>
      <c r="V12" s="27">
        <f>25.5*1000</f>
        <v/>
      </c>
      <c r="W12" s="26">
        <f>MIN(Table6[Production_Olives])</f>
        <v/>
      </c>
      <c r="X12" s="26">
        <f>MAX(Table6[Production_Olives])</f>
        <v/>
      </c>
      <c r="Y12" s="39">
        <f>(Table6[[#This Row],[Production_Olives]]-Table6[[#This Row],[Min]])/(Table6[[#This Row],[Max]]-Table6[[#This Row],[Min]])</f>
        <v/>
      </c>
      <c r="AA12" s="12" t="n">
        <v>0.056</v>
      </c>
      <c r="AB12" s="13">
        <f>MIN(Table8[PIB])</f>
        <v/>
      </c>
      <c r="AC12" s="13">
        <f>MAX(Table8[PIB])</f>
        <v/>
      </c>
      <c r="AD12" s="43">
        <f>(Table8[[#This Row],[PIB]]-Table8[[#This Row],[Min]])/(Table8[[#This Row],[Max]]-Table8[[#This Row],[Min]])</f>
        <v/>
      </c>
      <c r="AF12" s="12" t="n">
        <v>0.013</v>
      </c>
      <c r="AG12" s="13">
        <f>MIN(Table9[Inflation])</f>
        <v/>
      </c>
      <c r="AH12" s="13">
        <f>MAX(Table9[Inflation])</f>
        <v/>
      </c>
      <c r="AI12" s="43">
        <f>(Table9[[#This Row],[Inflation]]-Table9[[#This Row],[Min]])/(Table9[[#This Row],[Max]]-Table9[[#This Row],[Min]])</f>
        <v/>
      </c>
      <c r="AJ12" s="45">
        <f>1-Table9[[#This Row],[Inflation_N]]</f>
        <v/>
      </c>
      <c r="AL12" s="24" t="n">
        <v>294.6031801526717</v>
      </c>
      <c r="AM12" s="25">
        <f>MIN(Table10[PriceAVG])</f>
        <v/>
      </c>
      <c r="AN12" s="25">
        <f>MAX(Table10[PriceAVG])</f>
        <v/>
      </c>
      <c r="AO12" s="35">
        <f>(Table10[[#This Row],[PriceAVG]]-Table10[[#This Row],[Min]])/(Table10[[#This Row],[Max]]-Table10[[#This Row],[Min]])</f>
        <v/>
      </c>
      <c r="AP12" s="1">
        <f>1-Table10[[#This Row],[Inflation_N]]</f>
        <v/>
      </c>
      <c r="AR12" s="24" t="n">
        <v>734.05</v>
      </c>
      <c r="AS12" s="25">
        <f>MIN(Table11[Precipitation (mm)])</f>
        <v/>
      </c>
      <c r="AT12" s="25">
        <f>MAX(Table11[Precipitation (mm)])</f>
        <v/>
      </c>
      <c r="AU12" s="35">
        <f>(Table11[[#This Row],[Precipitation (mm)]]-Table11[[#This Row],[Min]])/(Table11[[#This Row],[Max]]-Table11[[#This Row],[Min]])</f>
        <v/>
      </c>
    </row>
    <row r="13">
      <c r="A13" s="25">
        <f>39.1*1000</f>
        <v/>
      </c>
      <c r="B13">
        <f>MIN(Table2[Consumption])</f>
        <v/>
      </c>
      <c r="C13" s="25">
        <f>MAX(Table2[Consumption])</f>
        <v/>
      </c>
      <c r="D13" s="35">
        <f>(Table2[[#This Row],[Consumption]]-Table2[[#This Row],[Min]])/(Table2[[#This Row],[Max]]-Table2[[#This Row],[Min]])</f>
        <v/>
      </c>
      <c r="F13" s="25">
        <f>126*1000</f>
        <v/>
      </c>
      <c r="G13" s="25">
        <f>MIN(Table3[Production])</f>
        <v/>
      </c>
      <c r="H13" s="25">
        <f>MAX(Table3[Production])</f>
        <v/>
      </c>
      <c r="I13" s="35">
        <f>(Table3[[#This Row],[Production]]-Table3[[#This Row],[Min]])/(Table3[[#This Row],[Max]]-Table3[[#This Row],[Min]])</f>
        <v/>
      </c>
      <c r="K13" s="25">
        <f>59*1000</f>
        <v/>
      </c>
      <c r="L13" s="25">
        <f>MIN(Table4[Exportation])</f>
        <v/>
      </c>
      <c r="M13" s="25">
        <f>MAX(Table4[Exportation])</f>
        <v/>
      </c>
      <c r="N13" s="35">
        <f>(Table4[[#This Row],[Exportation]]-Table4[[#This Row],[Min]])/(Table4[[#This Row],[Max]]-Table4[[#This Row],[Min]])</f>
        <v/>
      </c>
      <c r="P13" s="25">
        <f>2.3*1000</f>
        <v/>
      </c>
      <c r="Q13" s="25">
        <f>MIN(Table5[Importation])</f>
        <v/>
      </c>
      <c r="R13" s="25">
        <f>MAX(Table5[Importation])</f>
        <v/>
      </c>
      <c r="S13" s="35">
        <f>(Table5[[#This Row],[Importation]]-Table5[[#This Row],[Min]])/(Table5[[#This Row],[Max]]-Table5[[#This Row],[Min]])</f>
        <v/>
      </c>
      <c r="T13" s="1">
        <f>1-Table5[[#This Row],[Importation_N]]</f>
        <v/>
      </c>
      <c r="V13" s="26">
        <f>16.9*1000</f>
        <v/>
      </c>
      <c r="W13" s="26">
        <f>MIN(Table6[Production_Olives])</f>
        <v/>
      </c>
      <c r="X13" s="26">
        <f>MAX(Table6[Production_Olives])</f>
        <v/>
      </c>
      <c r="Y13" s="39">
        <f>(Table6[[#This Row],[Production_Olives]]-Table6[[#This Row],[Min]])/(Table6[[#This Row],[Max]]-Table6[[#This Row],[Min]])</f>
        <v/>
      </c>
      <c r="AA13" s="13" t="n">
        <v>0.07000000000000001</v>
      </c>
      <c r="AB13" s="13">
        <f>MIN(Table8[PIB])</f>
        <v/>
      </c>
      <c r="AC13" s="13">
        <f>MAX(Table8[PIB])</f>
        <v/>
      </c>
      <c r="AD13" s="43">
        <f>(Table8[[#This Row],[PIB]]-Table8[[#This Row],[Min]])/(Table8[[#This Row],[Max]]-Table8[[#This Row],[Min]])</f>
        <v/>
      </c>
      <c r="AF13" s="13" t="n">
        <v>0.078</v>
      </c>
      <c r="AG13" s="13">
        <f>MIN(Table9[Inflation])</f>
        <v/>
      </c>
      <c r="AH13" s="13">
        <f>MAX(Table9[Inflation])</f>
        <v/>
      </c>
      <c r="AI13" s="43">
        <f>(Table9[[#This Row],[Inflation]]-Table9[[#This Row],[Min]])/(Table9[[#This Row],[Max]]-Table9[[#This Row],[Min]])</f>
        <v/>
      </c>
      <c r="AJ13" s="45">
        <f>1-Table9[[#This Row],[Inflation_N]]</f>
        <v/>
      </c>
      <c r="AL13" s="25" t="n">
        <v>336.48511875</v>
      </c>
      <c r="AM13" s="25">
        <f>MIN(Table10[PriceAVG])</f>
        <v/>
      </c>
      <c r="AN13" s="25">
        <f>MAX(Table10[PriceAVG])</f>
        <v/>
      </c>
      <c r="AO13" s="35">
        <f>(Table10[[#This Row],[PriceAVG]]-Table10[[#This Row],[Min]])/(Table10[[#This Row],[Max]]-Table10[[#This Row],[Min]])</f>
        <v/>
      </c>
      <c r="AP13" s="1">
        <f>1-Table10[[#This Row],[Inflation_N]]</f>
        <v/>
      </c>
      <c r="AR13" s="25" t="n">
        <v>795.25</v>
      </c>
      <c r="AS13" s="25">
        <f>MIN(Table11[Precipitation (mm)])</f>
        <v/>
      </c>
      <c r="AT13" s="25">
        <f>MAX(Table11[Precipitation (mm)])</f>
        <v/>
      </c>
      <c r="AU13" s="35">
        <f>(Table11[[#This Row],[Precipitation (mm)]]-Table11[[#This Row],[Min]])/(Table11[[#This Row],[Max]]-Table11[[#This Row],[Min]])</f>
        <v/>
      </c>
    </row>
    <row r="14">
      <c r="A14" s="24">
        <f>60.9*1000</f>
        <v/>
      </c>
      <c r="B14">
        <f>MIN(Table2[Consumption])</f>
        <v/>
      </c>
      <c r="C14" s="25">
        <f>MAX(Table2[Consumption])</f>
        <v/>
      </c>
      <c r="D14" s="35">
        <f>(Table2[[#This Row],[Consumption]]-Table2[[#This Row],[Min]])/(Table2[[#This Row],[Max]]-Table2[[#This Row],[Min]])</f>
        <v/>
      </c>
      <c r="F14" s="24">
        <f>160.9*1000</f>
        <v/>
      </c>
      <c r="G14" s="24">
        <f>MIN(Table3[Production])</f>
        <v/>
      </c>
      <c r="H14" s="24">
        <f>MAX(Table3[Production])</f>
        <v/>
      </c>
      <c r="I14" s="35">
        <f>(Table3[[#This Row],[Production]]-Table3[[#This Row],[Min]])/(Table3[[#This Row],[Max]]-Table3[[#This Row],[Min]])</f>
        <v/>
      </c>
      <c r="K14" s="24">
        <f>55.1*1000</f>
        <v/>
      </c>
      <c r="L14" s="25">
        <f>MIN(Table4[Exportation])</f>
        <v/>
      </c>
      <c r="M14" s="25">
        <f>MAX(Table4[Exportation])</f>
        <v/>
      </c>
      <c r="N14" s="35">
        <f>(Table4[[#This Row],[Exportation]]-Table4[[#This Row],[Min]])/(Table4[[#This Row],[Max]]-Table4[[#This Row],[Min]])</f>
        <v/>
      </c>
      <c r="P14" s="24">
        <f>11.5*1000</f>
        <v/>
      </c>
      <c r="Q14" s="25">
        <f>MIN(Table5[Importation])</f>
        <v/>
      </c>
      <c r="R14" s="25">
        <f>MAX(Table5[Importation])</f>
        <v/>
      </c>
      <c r="S14" s="35">
        <f>(Table5[[#This Row],[Importation]]-Table5[[#This Row],[Min]])/(Table5[[#This Row],[Max]]-Table5[[#This Row],[Min]])</f>
        <v/>
      </c>
      <c r="T14" s="1">
        <f>1-Table5[[#This Row],[Importation_N]]</f>
        <v/>
      </c>
      <c r="V14" s="27">
        <f>19.7*1000</f>
        <v/>
      </c>
      <c r="W14" s="26">
        <f>MIN(Table6[Production_Olives])</f>
        <v/>
      </c>
      <c r="X14" s="26">
        <f>MAX(Table6[Production_Olives])</f>
        <v/>
      </c>
      <c r="Y14" s="39">
        <f>(Table6[[#This Row],[Production_Olives]]-Table6[[#This Row],[Min]])/(Table6[[#This Row],[Max]]-Table6[[#This Row],[Min]])</f>
        <v/>
      </c>
      <c r="AA14" s="12" t="n">
        <v>0.026</v>
      </c>
      <c r="AB14" s="13">
        <f>MIN(Table8[PIB])</f>
        <v/>
      </c>
      <c r="AC14" s="13">
        <f>MAX(Table8[PIB])</f>
        <v/>
      </c>
      <c r="AD14" s="43">
        <f>(Table8[[#This Row],[PIB]]-Table8[[#This Row],[Min]])/(Table8[[#This Row],[Max]]-Table8[[#This Row],[Min]])</f>
        <v/>
      </c>
      <c r="AF14" s="12" t="n">
        <v>0.043</v>
      </c>
      <c r="AG14" s="13">
        <f>MIN(Table9[Inflation])</f>
        <v/>
      </c>
      <c r="AH14" s="13">
        <f>MAX(Table9[Inflation])</f>
        <v/>
      </c>
      <c r="AI14" s="43">
        <f>(Table9[[#This Row],[Inflation]]-Table9[[#This Row],[Min]])/(Table9[[#This Row],[Max]]-Table9[[#This Row],[Min]])</f>
        <v/>
      </c>
      <c r="AJ14" s="45">
        <f>1-Table9[[#This Row],[Inflation_N]]</f>
        <v/>
      </c>
      <c r="AL14" s="24" t="n">
        <v>589.7307679487179</v>
      </c>
      <c r="AM14" s="25">
        <f>MIN(Table10[PriceAVG])</f>
        <v/>
      </c>
      <c r="AN14" s="25">
        <f>MAX(Table10[PriceAVG])</f>
        <v/>
      </c>
      <c r="AO14" s="35">
        <f>(Table10[[#This Row],[PriceAVG]]-Table10[[#This Row],[Min]])/(Table10[[#This Row],[Max]]-Table10[[#This Row],[Min]])</f>
        <v/>
      </c>
      <c r="AP14" s="1">
        <f>1-Table10[[#This Row],[Inflation_N]]</f>
        <v/>
      </c>
      <c r="AR14" s="24" t="n">
        <v>721.1</v>
      </c>
      <c r="AS14" s="25">
        <f>MIN(Table11[Precipitation (mm)])</f>
        <v/>
      </c>
      <c r="AT14" s="25">
        <f>MAX(Table11[Precipitation (mm)])</f>
        <v/>
      </c>
      <c r="AU14" s="35">
        <f>(Table11[[#This Row],[Precipitation (mm)]]-Table11[[#This Row],[Min]])/(Table11[[#This Row],[Max]]-Table11[[#This Row],[Min]])</f>
        <v/>
      </c>
    </row>
    <row r="15">
      <c r="A15" s="25">
        <f>72.4*1000</f>
        <v/>
      </c>
      <c r="B15">
        <f>MIN(Table2[Consumption])</f>
        <v/>
      </c>
      <c r="C15" s="25">
        <f>MAX(Table2[Consumption])</f>
        <v/>
      </c>
      <c r="D15" s="35">
        <f>(Table2[[#This Row],[Consumption]]-Table2[[#This Row],[Min]])/(Table2[[#This Row],[Max]]-Table2[[#This Row],[Min]])</f>
        <v/>
      </c>
      <c r="F15" s="25">
        <f>195*1000</f>
        <v/>
      </c>
      <c r="G15" s="25">
        <f>MIN(Table3[Production])</f>
        <v/>
      </c>
      <c r="H15" s="25">
        <f>MAX(Table3[Production])</f>
        <v/>
      </c>
      <c r="I15" s="35">
        <f>(Table3[[#This Row],[Production]]-Table3[[#This Row],[Min]])/(Table3[[#This Row],[Max]]-Table3[[#This Row],[Min]])</f>
        <v/>
      </c>
      <c r="K15" s="25">
        <f>60*1000</f>
        <v/>
      </c>
      <c r="L15" s="25">
        <f>MIN(Table4[Exportation])</f>
        <v/>
      </c>
      <c r="M15" s="25">
        <f>MAX(Table4[Exportation])</f>
        <v/>
      </c>
      <c r="N15" s="35">
        <f>(Table4[[#This Row],[Exportation]]-Table4[[#This Row],[Min]])/(Table4[[#This Row],[Max]]-Table4[[#This Row],[Min]])</f>
        <v/>
      </c>
      <c r="P15" s="25">
        <f>13.7*1000</f>
        <v/>
      </c>
      <c r="Q15" s="25">
        <f>MIN(Table5[Importation])</f>
        <v/>
      </c>
      <c r="R15" s="25">
        <f>MAX(Table5[Importation])</f>
        <v/>
      </c>
      <c r="S15" s="35">
        <f>(Table5[[#This Row],[Importation]]-Table5[[#This Row],[Min]])/(Table5[[#This Row],[Max]]-Table5[[#This Row],[Min]])</f>
        <v/>
      </c>
      <c r="T15" s="1">
        <f>1-Table5[[#This Row],[Importation_N]]</f>
        <v/>
      </c>
      <c r="V15" s="26">
        <f>21*1000</f>
        <v/>
      </c>
      <c r="W15" s="26">
        <f>MIN(Table6[Production_Olives])</f>
        <v/>
      </c>
      <c r="X15" s="26">
        <f>MAX(Table6[Production_Olives])</f>
        <v/>
      </c>
      <c r="Y15" s="39">
        <f>(Table6[[#This Row],[Production_Olives]]-Table6[[#This Row],[Min]])/(Table6[[#This Row],[Max]]-Table6[[#This Row],[Min]])</f>
        <v/>
      </c>
      <c r="AA15" s="13" t="n">
        <v>0.019</v>
      </c>
      <c r="AB15" s="13">
        <f>MIN(Table8[PIB])</f>
        <v/>
      </c>
      <c r="AC15" s="13">
        <f>MAX(Table8[PIB])</f>
        <v/>
      </c>
      <c r="AD15" s="43">
        <f>(Table8[[#This Row],[PIB]]-Table8[[#This Row],[Min]])/(Table8[[#This Row],[Max]]-Table8[[#This Row],[Min]])</f>
        <v/>
      </c>
      <c r="AF15" s="13" t="n">
        <v>0.024</v>
      </c>
      <c r="AG15" s="13">
        <f>MIN(Table9[Inflation])</f>
        <v/>
      </c>
      <c r="AH15" s="13">
        <f>MAX(Table9[Inflation])</f>
        <v/>
      </c>
      <c r="AI15" s="43">
        <f>(Table9[[#This Row],[Inflation]]-Table9[[#This Row],[Min]])/(Table9[[#This Row],[Max]]-Table9[[#This Row],[Min]])</f>
        <v/>
      </c>
      <c r="AJ15" s="45">
        <f>1-Table9[[#This Row],[Inflation_N]]</f>
        <v/>
      </c>
      <c r="AL15" s="25" t="n">
        <v>840.9842519685039</v>
      </c>
      <c r="AM15" s="25">
        <f>MIN(Table10[PriceAVG])</f>
        <v/>
      </c>
      <c r="AN15" s="25">
        <f>MAX(Table10[PriceAVG])</f>
        <v/>
      </c>
      <c r="AO15" s="35">
        <f>(Table10[[#This Row],[PriceAVG]]-Table10[[#This Row],[Min]])/(Table10[[#This Row],[Max]]-Table10[[#This Row],[Min]])</f>
        <v/>
      </c>
      <c r="AP15" s="1">
        <f>1-Table10[[#This Row],[Inflation_N]]</f>
        <v/>
      </c>
      <c r="AR15" s="25" t="n">
        <v>774.13</v>
      </c>
      <c r="AS15" s="25">
        <f>MIN(Table11[Precipitation (mm)])</f>
        <v/>
      </c>
      <c r="AT15" s="25">
        <f>MAX(Table11[Precipitation (mm)])</f>
        <v/>
      </c>
      <c r="AU15" s="35">
        <f>(Table11[[#This Row],[Precipitation (mm)]]-Table11[[#This Row],[Min]])/(Table11[[#This Row],[Max]]-Table11[[#This Row],[Min]])</f>
        <v/>
      </c>
    </row>
    <row r="16">
      <c r="A16" s="24">
        <f>120*100</f>
        <v/>
      </c>
      <c r="B16">
        <f>MIN(Table2[Consumption])</f>
        <v/>
      </c>
      <c r="C16" s="25">
        <f>MAX(Table2[Consumption])</f>
        <v/>
      </c>
      <c r="D16" s="35">
        <f>(Table2[[#This Row],[Consumption]]-Table2[[#This Row],[Min]])/(Table2[[#This Row],[Max]]-Table2[[#This Row],[Min]])</f>
        <v/>
      </c>
      <c r="F16" s="24">
        <f>185*1000</f>
        <v/>
      </c>
      <c r="G16" s="24">
        <f>MIN(Table3[Production])</f>
        <v/>
      </c>
      <c r="H16" s="24">
        <f>MAX(Table3[Production])</f>
        <v/>
      </c>
      <c r="I16" s="35">
        <f>(Table3[[#This Row],[Production]]-Table3[[#This Row],[Min]])/(Table3[[#This Row],[Max]]-Table3[[#This Row],[Min]])</f>
        <v/>
      </c>
      <c r="K16" s="24">
        <f>20.2*1000</f>
        <v/>
      </c>
      <c r="L16" s="25">
        <f>MIN(Table4[Exportation])</f>
        <v/>
      </c>
      <c r="M16" s="25">
        <f>MAX(Table4[Exportation])</f>
        <v/>
      </c>
      <c r="N16" s="35">
        <f>(Table4[[#This Row],[Exportation]]-Table4[[#This Row],[Min]])/(Table4[[#This Row],[Max]]-Table4[[#This Row],[Min]])</f>
        <v/>
      </c>
      <c r="P16" s="24">
        <f>0*1000</f>
        <v/>
      </c>
      <c r="Q16" s="25">
        <f>MIN(Table5[Importation])</f>
        <v/>
      </c>
      <c r="R16" s="25">
        <f>MAX(Table5[Importation])</f>
        <v/>
      </c>
      <c r="S16" s="35">
        <f>(Table5[[#This Row],[Importation]]-Table5[[#This Row],[Min]])/(Table5[[#This Row],[Max]]-Table5[[#This Row],[Min]])</f>
        <v/>
      </c>
      <c r="T16" s="1">
        <f>1-Table5[[#This Row],[Importation_N]]</f>
        <v/>
      </c>
      <c r="V16" s="27">
        <f>199*1000</f>
        <v/>
      </c>
      <c r="W16" s="26">
        <f>MIN(Table6[Production_Olives])</f>
        <v/>
      </c>
      <c r="X16" s="26">
        <f>MAX(Table6[Production_Olives])</f>
        <v/>
      </c>
      <c r="Y16" s="39">
        <f>(Table6[[#This Row],[Production_Olives]]-Table6[[#This Row],[Min]])/(Table6[[#This Row],[Max]]-Table6[[#This Row],[Min]])</f>
        <v/>
      </c>
      <c r="AA16" s="12" t="n">
        <v>0.021</v>
      </c>
      <c r="AB16" s="13">
        <f>MIN(Table8[PIB])</f>
        <v/>
      </c>
      <c r="AC16" s="13">
        <f>MAX(Table8[PIB])</f>
        <v/>
      </c>
      <c r="AD16" s="43">
        <f>(Table8[[#This Row],[PIB]]-Table8[[#This Row],[Min]])/(Table8[[#This Row],[Max]]-Table8[[#This Row],[Min]])</f>
        <v/>
      </c>
      <c r="AF16" s="12" t="n">
        <v>0.006</v>
      </c>
      <c r="AG16" s="13">
        <f>MIN(Table9[Inflation])</f>
        <v/>
      </c>
      <c r="AH16" s="13">
        <f>MAX(Table9[Inflation])</f>
        <v/>
      </c>
      <c r="AI16" s="43">
        <f>(Table9[[#This Row],[Inflation]]-Table9[[#This Row],[Min]])/(Table9[[#This Row],[Max]]-Table9[[#This Row],[Min]])</f>
        <v/>
      </c>
      <c r="AJ16" s="45">
        <f>1-Table9[[#This Row],[Inflation_N]]</f>
        <v/>
      </c>
      <c r="AL16" s="24" t="n">
        <v>269.2549693251534</v>
      </c>
      <c r="AM16" s="25">
        <f>MIN(Table10[PriceAVG])</f>
        <v/>
      </c>
      <c r="AN16" s="25">
        <f>MAX(Table10[PriceAVG])</f>
        <v/>
      </c>
      <c r="AO16" s="35">
        <f>(Table10[[#This Row],[PriceAVG]]-Table10[[#This Row],[Min]])/(Table10[[#This Row],[Max]]-Table10[[#This Row],[Min]])</f>
        <v/>
      </c>
      <c r="AP16" s="1">
        <f>1-Table10[[#This Row],[Inflation_N]]</f>
        <v/>
      </c>
      <c r="AR16" s="24" t="n">
        <v>913.35</v>
      </c>
      <c r="AS16" s="25">
        <f>MIN(Table11[Precipitation (mm)])</f>
        <v/>
      </c>
      <c r="AT16" s="25">
        <f>MAX(Table11[Precipitation (mm)])</f>
        <v/>
      </c>
      <c r="AU16" s="35">
        <f>(Table11[[#This Row],[Precipitation (mm)]]-Table11[[#This Row],[Min]])/(Table11[[#This Row],[Max]]-Table11[[#This Row],[Min]])</f>
        <v/>
      </c>
    </row>
    <row r="17">
      <c r="A17" s="25">
        <f>114.3*1000</f>
        <v/>
      </c>
      <c r="B17">
        <f>MIN(Table2[Consumption])</f>
        <v/>
      </c>
      <c r="C17" s="25">
        <f>MAX(Table2[Consumption])</f>
        <v/>
      </c>
      <c r="D17" s="35">
        <f>(Table2[[#This Row],[Consumption]]-Table2[[#This Row],[Min]])/(Table2[[#This Row],[Max]]-Table2[[#This Row],[Min]])</f>
        <v/>
      </c>
      <c r="F17" s="25">
        <f>275*1000</f>
        <v/>
      </c>
      <c r="G17" s="25">
        <f>MIN(Table3[Production])</f>
        <v/>
      </c>
      <c r="H17" s="25">
        <f>MAX(Table3[Production])</f>
        <v/>
      </c>
      <c r="I17" s="35">
        <f>(Table3[[#This Row],[Production]]-Table3[[#This Row],[Min]])/(Table3[[#This Row],[Max]]-Table3[[#This Row],[Min]])</f>
        <v/>
      </c>
      <c r="K17" s="25">
        <f>20.8*1000</f>
        <v/>
      </c>
      <c r="L17" s="25">
        <f>MIN(Table4[Exportation])</f>
        <v/>
      </c>
      <c r="M17" s="25">
        <f>MAX(Table4[Exportation])</f>
        <v/>
      </c>
      <c r="N17" s="35">
        <f>(Table4[[#This Row],[Exportation]]-Table4[[#This Row],[Min]])/(Table4[[#This Row],[Max]]-Table4[[#This Row],[Min]])</f>
        <v/>
      </c>
      <c r="P17" s="25">
        <f>0*1000</f>
        <v/>
      </c>
      <c r="Q17" s="25">
        <f>MIN(Table5[Importation])</f>
        <v/>
      </c>
      <c r="R17" s="25">
        <f>MAX(Table5[Importation])</f>
        <v/>
      </c>
      <c r="S17" s="35">
        <f>(Table5[[#This Row],[Importation]]-Table5[[#This Row],[Min]])/(Table5[[#This Row],[Max]]-Table5[[#This Row],[Min]])</f>
        <v/>
      </c>
      <c r="T17" s="1">
        <f>1-Table5[[#This Row],[Importation_N]]</f>
        <v/>
      </c>
      <c r="V17" s="26">
        <f>222*1000</f>
        <v/>
      </c>
      <c r="W17" s="26">
        <f>MIN(Table6[Production_Olives])</f>
        <v/>
      </c>
      <c r="X17" s="26">
        <f>MAX(Table6[Production_Olives])</f>
        <v/>
      </c>
      <c r="Y17" s="39">
        <f>(Table6[[#This Row],[Production_Olives]]-Table6[[#This Row],[Min]])/(Table6[[#This Row],[Max]]-Table6[[#This Row],[Min]])</f>
        <v/>
      </c>
      <c r="AA17" s="13" t="n">
        <v>0.023</v>
      </c>
      <c r="AB17" s="13">
        <f>MIN(Table8[PIB])</f>
        <v/>
      </c>
      <c r="AC17" s="13">
        <f>MAX(Table8[PIB])</f>
        <v/>
      </c>
      <c r="AD17" s="43">
        <f>(Table8[[#This Row],[PIB]]-Table8[[#This Row],[Min]])/(Table8[[#This Row],[Max]]-Table8[[#This Row],[Min]])</f>
        <v/>
      </c>
      <c r="AF17" s="13" t="n">
        <v>0.003</v>
      </c>
      <c r="AG17" s="13">
        <f>MIN(Table9[Inflation])</f>
        <v/>
      </c>
      <c r="AH17" s="13">
        <f>MAX(Table9[Inflation])</f>
        <v/>
      </c>
      <c r="AI17" s="43">
        <f>(Table9[[#This Row],[Inflation]]-Table9[[#This Row],[Min]])/(Table9[[#This Row],[Max]]-Table9[[#This Row],[Min]])</f>
        <v/>
      </c>
      <c r="AJ17" s="45">
        <f>1-Table9[[#This Row],[Inflation_N]]</f>
        <v/>
      </c>
      <c r="AL17" s="25" t="n">
        <v>229.4070006269592</v>
      </c>
      <c r="AM17" s="25">
        <f>MIN(Table10[PriceAVG])</f>
        <v/>
      </c>
      <c r="AN17" s="25">
        <f>MAX(Table10[PriceAVG])</f>
        <v/>
      </c>
      <c r="AO17" s="35">
        <f>(Table10[[#This Row],[PriceAVG]]-Table10[[#This Row],[Min]])/(Table10[[#This Row],[Max]]-Table10[[#This Row],[Min]])</f>
        <v/>
      </c>
      <c r="AP17" s="1">
        <f>1-Table10[[#This Row],[Inflation_N]]</f>
        <v/>
      </c>
      <c r="AR17" s="25" t="n">
        <v>872.4299999999999</v>
      </c>
      <c r="AS17" s="25">
        <f>MIN(Table11[Precipitation (mm)])</f>
        <v/>
      </c>
      <c r="AT17" s="25">
        <f>MAX(Table11[Precipitation (mm)])</f>
        <v/>
      </c>
      <c r="AU17" s="35">
        <f>(Table11[[#This Row],[Precipitation (mm)]]-Table11[[#This Row],[Min]])/(Table11[[#This Row],[Max]]-Table11[[#This Row],[Min]])</f>
        <v/>
      </c>
    </row>
    <row r="18">
      <c r="A18" s="24">
        <f>108.6*1000</f>
        <v/>
      </c>
      <c r="B18">
        <f>MIN(Table2[Consumption])</f>
        <v/>
      </c>
      <c r="C18" s="25">
        <f>MAX(Table2[Consumption])</f>
        <v/>
      </c>
      <c r="D18" s="35">
        <f>(Table2[[#This Row],[Consumption]]-Table2[[#This Row],[Min]])/(Table2[[#This Row],[Max]]-Table2[[#This Row],[Min]])</f>
        <v/>
      </c>
      <c r="F18" s="24">
        <f>275*1000</f>
        <v/>
      </c>
      <c r="G18" s="24">
        <f>MIN(Table3[Production])</f>
        <v/>
      </c>
      <c r="H18" s="24">
        <f>MAX(Table3[Production])</f>
        <v/>
      </c>
      <c r="I18" s="35">
        <f>(Table3[[#This Row],[Production]]-Table3[[#This Row],[Min]])/(Table3[[#This Row],[Max]]-Table3[[#This Row],[Min]])</f>
        <v/>
      </c>
      <c r="K18" s="24">
        <f>24.5*1000</f>
        <v/>
      </c>
      <c r="L18" s="25">
        <f>MIN(Table4[Exportation])</f>
        <v/>
      </c>
      <c r="M18" s="25">
        <f>MAX(Table4[Exportation])</f>
        <v/>
      </c>
      <c r="N18" s="35">
        <f>(Table4[[#This Row],[Exportation]]-Table4[[#This Row],[Min]])/(Table4[[#This Row],[Max]]-Table4[[#This Row],[Min]])</f>
        <v/>
      </c>
      <c r="P18" s="24">
        <f>0.1*1000</f>
        <v/>
      </c>
      <c r="Q18" s="25">
        <f>MIN(Table5[Importation])</f>
        <v/>
      </c>
      <c r="R18" s="25">
        <f>MAX(Table5[Importation])</f>
        <v/>
      </c>
      <c r="S18" s="35">
        <f>(Table5[[#This Row],[Importation]]-Table5[[#This Row],[Min]])/(Table5[[#This Row],[Max]]-Table5[[#This Row],[Min]])</f>
        <v/>
      </c>
      <c r="T18" s="1">
        <f>1-Table5[[#This Row],[Importation_N]]</f>
        <v/>
      </c>
      <c r="V18" s="27">
        <f>230*1000</f>
        <v/>
      </c>
      <c r="W18" s="26">
        <f>MIN(Table6[Production_Olives])</f>
        <v/>
      </c>
      <c r="X18" s="26">
        <f>MAX(Table6[Production_Olives])</f>
        <v/>
      </c>
      <c r="Y18" s="39">
        <f>(Table6[[#This Row],[Production_Olives]]-Table6[[#This Row],[Min]])/(Table6[[#This Row],[Max]]-Table6[[#This Row],[Min]])</f>
        <v/>
      </c>
      <c r="AA18" s="12" t="n">
        <v>-0.092</v>
      </c>
      <c r="AB18" s="13">
        <f>MIN(Table8[PIB])</f>
        <v/>
      </c>
      <c r="AC18" s="13">
        <f>MAX(Table8[PIB])</f>
        <v/>
      </c>
      <c r="AD18" s="43">
        <f>(Table8[[#This Row],[PIB]]-Table8[[#This Row],[Min]])/(Table8[[#This Row],[Max]]-Table8[[#This Row],[Min]])</f>
        <v/>
      </c>
      <c r="AF18" s="12" t="n">
        <v>-0.012</v>
      </c>
      <c r="AG18" s="13">
        <f>MIN(Table9[Inflation])</f>
        <v/>
      </c>
      <c r="AH18" s="13">
        <f>MAX(Table9[Inflation])</f>
        <v/>
      </c>
      <c r="AI18" s="43">
        <f>(Table9[[#This Row],[Inflation]]-Table9[[#This Row],[Min]])/(Table9[[#This Row],[Max]]-Table9[[#This Row],[Min]])</f>
        <v/>
      </c>
      <c r="AJ18" s="45">
        <f>1-Table9[[#This Row],[Inflation_N]]</f>
        <v/>
      </c>
      <c r="AL18" s="24" t="n">
        <v>177.3695252059308</v>
      </c>
      <c r="AM18" s="25">
        <f>MIN(Table10[PriceAVG])</f>
        <v/>
      </c>
      <c r="AN18" s="25">
        <f>MAX(Table10[PriceAVG])</f>
        <v/>
      </c>
      <c r="AO18" s="35">
        <f>(Table10[[#This Row],[PriceAVG]]-Table10[[#This Row],[Min]])/(Table10[[#This Row],[Max]]-Table10[[#This Row],[Min]])</f>
        <v/>
      </c>
      <c r="AP18" s="1">
        <f>1-Table10[[#This Row],[Inflation_N]]</f>
        <v/>
      </c>
      <c r="AR18" s="24" t="n">
        <v>722.42</v>
      </c>
      <c r="AS18" s="25">
        <f>MIN(Table11[Precipitation (mm)])</f>
        <v/>
      </c>
      <c r="AT18" s="25">
        <f>MAX(Table11[Precipitation (mm)])</f>
        <v/>
      </c>
      <c r="AU18" s="35">
        <f>(Table11[[#This Row],[Precipitation (mm)]]-Table11[[#This Row],[Min]])/(Table11[[#This Row],[Max]]-Table11[[#This Row],[Min]])</f>
        <v/>
      </c>
    </row>
    <row r="19">
      <c r="A19" s="25">
        <f>105.5*1000</f>
        <v/>
      </c>
      <c r="B19">
        <f>MIN(Table2[Consumption])</f>
        <v/>
      </c>
      <c r="C19" s="25">
        <f>MAX(Table2[Consumption])</f>
        <v/>
      </c>
      <c r="D19" s="35">
        <f>(Table2[[#This Row],[Consumption]]-Table2[[#This Row],[Min]])/(Table2[[#This Row],[Max]]-Table2[[#This Row],[Min]])</f>
        <v/>
      </c>
      <c r="F19" s="25">
        <f>232*1000</f>
        <v/>
      </c>
      <c r="G19" s="25">
        <f>MIN(Table3[Production])</f>
        <v/>
      </c>
      <c r="H19" s="25">
        <f>MAX(Table3[Production])</f>
        <v/>
      </c>
      <c r="I19" s="35">
        <f>(Table3[[#This Row],[Production]]-Table3[[#This Row],[Min]])/(Table3[[#This Row],[Max]]-Table3[[#This Row],[Min]])</f>
        <v/>
      </c>
      <c r="K19" s="25">
        <f>24.5*1000</f>
        <v/>
      </c>
      <c r="L19" s="25">
        <f>MIN(Table4[Exportation])</f>
        <v/>
      </c>
      <c r="M19" s="25">
        <f>MAX(Table4[Exportation])</f>
        <v/>
      </c>
      <c r="N19" s="35">
        <f>(Table4[[#This Row],[Exportation]]-Table4[[#This Row],[Min]])/(Table4[[#This Row],[Max]]-Table4[[#This Row],[Min]])</f>
        <v/>
      </c>
      <c r="P19" s="25">
        <f>0*1000</f>
        <v/>
      </c>
      <c r="Q19" s="25">
        <f>MIN(Table5[Importation])</f>
        <v/>
      </c>
      <c r="R19" s="25">
        <f>MAX(Table5[Importation])</f>
        <v/>
      </c>
      <c r="S19" s="35">
        <f>(Table5[[#This Row],[Importation]]-Table5[[#This Row],[Min]])/(Table5[[#This Row],[Max]]-Table5[[#This Row],[Min]])</f>
        <v/>
      </c>
      <c r="T19" s="1">
        <f>1-Table5[[#This Row],[Importation_N]]</f>
        <v/>
      </c>
      <c r="V19" s="26">
        <f>175*1000</f>
        <v/>
      </c>
      <c r="W19" s="26">
        <f>MIN(Table6[Production_Olives])</f>
        <v/>
      </c>
      <c r="X19" s="26">
        <f>MAX(Table6[Production_Olives])</f>
        <v/>
      </c>
      <c r="Y19" s="39">
        <f>(Table6[[#This Row],[Production_Olives]]-Table6[[#This Row],[Min]])/(Table6[[#This Row],[Max]]-Table6[[#This Row],[Min]])</f>
        <v/>
      </c>
      <c r="AA19" s="13" t="n">
        <v>0.08699999999999999</v>
      </c>
      <c r="AB19" s="13">
        <f>MIN(Table8[PIB])</f>
        <v/>
      </c>
      <c r="AC19" s="13">
        <f>MAX(Table8[PIB])</f>
        <v/>
      </c>
      <c r="AD19" s="43">
        <f>(Table8[[#This Row],[PIB]]-Table8[[#This Row],[Min]])/(Table8[[#This Row],[Max]]-Table8[[#This Row],[Min]])</f>
        <v/>
      </c>
      <c r="AF19" s="13" t="n">
        <v>0.012</v>
      </c>
      <c r="AG19" s="13">
        <f>MIN(Table9[Inflation])</f>
        <v/>
      </c>
      <c r="AH19" s="13">
        <f>MAX(Table9[Inflation])</f>
        <v/>
      </c>
      <c r="AI19" s="43">
        <f>(Table9[[#This Row],[Inflation]]-Table9[[#This Row],[Min]])/(Table9[[#This Row],[Max]]-Table9[[#This Row],[Min]])</f>
        <v/>
      </c>
      <c r="AJ19" s="45">
        <f>1-Table9[[#This Row],[Inflation_N]]</f>
        <v/>
      </c>
      <c r="AL19" s="25" t="n">
        <v>260.5705895121952</v>
      </c>
      <c r="AM19" s="25">
        <f>MIN(Table10[PriceAVG])</f>
        <v/>
      </c>
      <c r="AN19" s="25">
        <f>MAX(Table10[PriceAVG])</f>
        <v/>
      </c>
      <c r="AO19" s="35">
        <f>(Table10[[#This Row],[PriceAVG]]-Table10[[#This Row],[Min]])/(Table10[[#This Row],[Max]]-Table10[[#This Row],[Min]])</f>
        <v/>
      </c>
      <c r="AP19" s="1">
        <f>1-Table10[[#This Row],[Inflation_N]]</f>
        <v/>
      </c>
      <c r="AR19" s="25" t="n">
        <v>900.71</v>
      </c>
      <c r="AS19" s="25">
        <f>MIN(Table11[Precipitation (mm)])</f>
        <v/>
      </c>
      <c r="AT19" s="25">
        <f>MAX(Table11[Precipitation (mm)])</f>
        <v/>
      </c>
      <c r="AU19" s="35">
        <f>(Table11[[#This Row],[Precipitation (mm)]]-Table11[[#This Row],[Min]])/(Table11[[#This Row],[Max]]-Table11[[#This Row],[Min]])</f>
        <v/>
      </c>
    </row>
    <row r="20">
      <c r="A20" s="24">
        <f>96.5*1000</f>
        <v/>
      </c>
      <c r="B20">
        <f>MIN(Table2[Consumption])</f>
        <v/>
      </c>
      <c r="C20" s="25">
        <f>MAX(Table2[Consumption])</f>
        <v/>
      </c>
      <c r="D20" s="35">
        <f>(Table2[[#This Row],[Consumption]]-Table2[[#This Row],[Min]])/(Table2[[#This Row],[Max]]-Table2[[#This Row],[Min]])</f>
        <v/>
      </c>
      <c r="F20" s="24">
        <f>345*1000</f>
        <v/>
      </c>
      <c r="G20" s="24">
        <f>MIN(Table3[Production])</f>
        <v/>
      </c>
      <c r="H20" s="24">
        <f>MAX(Table3[Production])</f>
        <v/>
      </c>
      <c r="I20" s="35">
        <f>(Table3[[#This Row],[Production]]-Table3[[#This Row],[Min]])/(Table3[[#This Row],[Max]]-Table3[[#This Row],[Min]])</f>
        <v/>
      </c>
      <c r="K20" s="24">
        <f>23.3*1000</f>
        <v/>
      </c>
      <c r="L20" s="25">
        <f>MIN(Table4[Exportation])</f>
        <v/>
      </c>
      <c r="M20" s="25">
        <f>MAX(Table4[Exportation])</f>
        <v/>
      </c>
      <c r="N20" s="35">
        <f>(Table4[[#This Row],[Exportation]]-Table4[[#This Row],[Min]])/(Table4[[#This Row],[Max]]-Table4[[#This Row],[Min]])</f>
        <v/>
      </c>
      <c r="P20" s="24">
        <f>0.2*1000</f>
        <v/>
      </c>
      <c r="Q20" s="25">
        <f>MIN(Table5[Importation])</f>
        <v/>
      </c>
      <c r="R20" s="25">
        <f>MAX(Table5[Importation])</f>
        <v/>
      </c>
      <c r="S20" s="35">
        <f>(Table5[[#This Row],[Importation]]-Table5[[#This Row],[Min]])/(Table5[[#This Row],[Max]]-Table5[[#This Row],[Min]])</f>
        <v/>
      </c>
      <c r="T20" s="1">
        <f>1-Table5[[#This Row],[Importation_N]]</f>
        <v/>
      </c>
      <c r="V20" s="27">
        <f>325*1000</f>
        <v/>
      </c>
      <c r="W20" s="26">
        <f>MIN(Table6[Production_Olives])</f>
        <v/>
      </c>
      <c r="X20" s="26">
        <f>MAX(Table6[Production_Olives])</f>
        <v/>
      </c>
      <c r="Y20" s="39">
        <f>(Table6[[#This Row],[Production_Olives]]-Table6[[#This Row],[Min]])/(Table6[[#This Row],[Max]]-Table6[[#This Row],[Min]])</f>
        <v/>
      </c>
      <c r="AA20" s="12" t="n">
        <v>0.055</v>
      </c>
      <c r="AB20" s="13">
        <f>MIN(Table8[PIB])</f>
        <v/>
      </c>
      <c r="AC20" s="13">
        <f>MAX(Table8[PIB])</f>
        <v/>
      </c>
      <c r="AD20" s="43">
        <f>(Table8[[#This Row],[PIB]]-Table8[[#This Row],[Min]])/(Table8[[#This Row],[Max]]-Table8[[#This Row],[Min]])</f>
        <v/>
      </c>
      <c r="AF20" s="12" t="n">
        <v>0.096</v>
      </c>
      <c r="AG20" s="13">
        <f>MIN(Table9[Inflation])</f>
        <v/>
      </c>
      <c r="AH20" s="13">
        <f>MAX(Table9[Inflation])</f>
        <v/>
      </c>
      <c r="AI20" s="43">
        <f>(Table9[[#This Row],[Inflation]]-Table9[[#This Row],[Min]])/(Table9[[#This Row],[Max]]-Table9[[#This Row],[Min]])</f>
        <v/>
      </c>
      <c r="AJ20" s="45">
        <f>1-Table9[[#This Row],[Inflation_N]]</f>
        <v/>
      </c>
      <c r="AL20" s="24" t="n">
        <v>312.265616302187</v>
      </c>
      <c r="AM20" s="25">
        <f>MIN(Table10[PriceAVG])</f>
        <v/>
      </c>
      <c r="AN20" s="25">
        <f>MAX(Table10[PriceAVG])</f>
        <v/>
      </c>
      <c r="AO20" s="35">
        <f>(Table10[[#This Row],[PriceAVG]]-Table10[[#This Row],[Min]])/(Table10[[#This Row],[Max]]-Table10[[#This Row],[Min]])</f>
        <v/>
      </c>
      <c r="AP20" s="1">
        <f>1-Table10[[#This Row],[Inflation_N]]</f>
        <v/>
      </c>
      <c r="AR20" s="24" t="n">
        <v>749.6</v>
      </c>
      <c r="AS20" s="25">
        <f>MIN(Table11[Precipitation (mm)])</f>
        <v/>
      </c>
      <c r="AT20" s="25">
        <f>MAX(Table11[Precipitation (mm)])</f>
        <v/>
      </c>
      <c r="AU20" s="35">
        <f>(Table11[[#This Row],[Precipitation (mm)]]-Table11[[#This Row],[Min]])/(Table11[[#This Row],[Max]]-Table11[[#This Row],[Min]])</f>
        <v/>
      </c>
    </row>
    <row r="21">
      <c r="A21" s="25">
        <f>90.5*1000</f>
        <v/>
      </c>
      <c r="B21">
        <f>MIN(Table2[Consumption])</f>
        <v/>
      </c>
      <c r="C21" s="25">
        <f>MAX(Table2[Consumption])</f>
        <v/>
      </c>
      <c r="D21" s="35">
        <f>(Table2[[#This Row],[Consumption]]-Table2[[#This Row],[Min]])/(Table2[[#This Row],[Max]]-Table2[[#This Row],[Min]])</f>
        <v/>
      </c>
      <c r="F21" s="25">
        <f>175*1000</f>
        <v/>
      </c>
      <c r="G21" s="25">
        <f>MIN(Table3[Production])</f>
        <v/>
      </c>
      <c r="H21" s="25">
        <f>MAX(Table3[Production])</f>
        <v/>
      </c>
      <c r="I21" s="35">
        <f>(Table3[[#This Row],[Production]]-Table3[[#This Row],[Min]])/(Table3[[#This Row],[Max]]-Table3[[#This Row],[Min]])</f>
        <v/>
      </c>
      <c r="K21" s="25">
        <f>19.6*1000</f>
        <v/>
      </c>
      <c r="L21" s="25">
        <f>MIN(Table4[Exportation])</f>
        <v/>
      </c>
      <c r="M21" s="25">
        <f>MAX(Table4[Exportation])</f>
        <v/>
      </c>
      <c r="N21" s="35">
        <f>(Table4[[#This Row],[Exportation]]-Table4[[#This Row],[Min]])/(Table4[[#This Row],[Max]]-Table4[[#This Row],[Min]])</f>
        <v/>
      </c>
      <c r="P21" s="25">
        <f>0.3*1000</f>
        <v/>
      </c>
      <c r="Q21" s="25">
        <f>MIN(Table5[Importation])</f>
        <v/>
      </c>
      <c r="R21" s="25">
        <f>MAX(Table5[Importation])</f>
        <v/>
      </c>
      <c r="S21" s="35">
        <f>(Table5[[#This Row],[Importation]]-Table5[[#This Row],[Min]])/(Table5[[#This Row],[Max]]-Table5[[#This Row],[Min]])</f>
        <v/>
      </c>
      <c r="T21" s="1">
        <f>1-Table5[[#This Row],[Importation_N]]</f>
        <v/>
      </c>
      <c r="V21" s="26">
        <f>110*1000</f>
        <v/>
      </c>
      <c r="W21" s="26">
        <f>MIN(Table6[Production_Olives])</f>
        <v/>
      </c>
      <c r="X21" s="26">
        <f>MAX(Table6[Production_Olives])</f>
        <v/>
      </c>
      <c r="Y21" s="39">
        <f>(Table6[[#This Row],[Production_Olives]]-Table6[[#This Row],[Min]])/(Table6[[#This Row],[Max]]-Table6[[#This Row],[Min]])</f>
        <v/>
      </c>
      <c r="AA21" s="13" t="n">
        <v>0.021</v>
      </c>
      <c r="AB21" s="13">
        <f>MIN(Table8[PIB])</f>
        <v/>
      </c>
      <c r="AC21" s="13">
        <f>MAX(Table8[PIB])</f>
        <v/>
      </c>
      <c r="AD21" s="43">
        <f>(Table8[[#This Row],[PIB]]-Table8[[#This Row],[Min]])/(Table8[[#This Row],[Max]]-Table8[[#This Row],[Min]])</f>
        <v/>
      </c>
      <c r="AF21" s="13" t="n">
        <v>0.035</v>
      </c>
      <c r="AG21" s="13">
        <f>MIN(Table9[Inflation])</f>
        <v/>
      </c>
      <c r="AH21" s="13">
        <f>MAX(Table9[Inflation])</f>
        <v/>
      </c>
      <c r="AI21" s="43">
        <f>(Table9[[#This Row],[Inflation]]-Table9[[#This Row],[Min]])/(Table9[[#This Row],[Max]]-Table9[[#This Row],[Min]])</f>
        <v/>
      </c>
      <c r="AJ21" s="45">
        <f>1-Table9[[#This Row],[Inflation_N]]</f>
        <v/>
      </c>
      <c r="AL21" s="25" t="n">
        <v>549.1366097323603</v>
      </c>
      <c r="AM21" s="25">
        <f>MIN(Table10[PriceAVG])</f>
        <v/>
      </c>
      <c r="AN21" s="25">
        <f>MAX(Table10[PriceAVG])</f>
        <v/>
      </c>
      <c r="AO21" s="35">
        <f>(Table10[[#This Row],[PriceAVG]]-Table10[[#This Row],[Min]])/(Table10[[#This Row],[Max]]-Table10[[#This Row],[Min]])</f>
        <v/>
      </c>
      <c r="AP21" s="1">
        <f>1-Table10[[#This Row],[Inflation_N]]</f>
        <v/>
      </c>
      <c r="AR21" s="25" t="n">
        <v>838.6799999999999</v>
      </c>
      <c r="AS21" s="25">
        <f>MIN(Table11[Precipitation (mm)])</f>
        <v/>
      </c>
      <c r="AT21" s="25">
        <f>MAX(Table11[Precipitation (mm)])</f>
        <v/>
      </c>
      <c r="AU21" s="35">
        <f>(Table11[[#This Row],[Precipitation (mm)]]-Table11[[#This Row],[Min]])/(Table11[[#This Row],[Max]]-Table11[[#This Row],[Min]])</f>
        <v/>
      </c>
    </row>
    <row r="22">
      <c r="A22" s="24">
        <f>110*1000</f>
        <v/>
      </c>
      <c r="B22">
        <f>MIN(Table2[Consumption])</f>
        <v/>
      </c>
      <c r="C22" s="25">
        <f>MAX(Table2[Consumption])</f>
        <v/>
      </c>
      <c r="D22" s="35">
        <f>(Table2[[#This Row],[Consumption]]-Table2[[#This Row],[Min]])/(Table2[[#This Row],[Max]]-Table2[[#This Row],[Min]])</f>
        <v/>
      </c>
      <c r="F22" s="24">
        <f>250*1000</f>
        <v/>
      </c>
      <c r="G22" s="24">
        <f>MIN(Table3[Production])</f>
        <v/>
      </c>
      <c r="H22" s="24">
        <f>MAX(Table3[Production])</f>
        <v/>
      </c>
      <c r="I22" s="35">
        <f>(Table3[[#This Row],[Production]]-Table3[[#This Row],[Min]])/(Table3[[#This Row],[Max]]-Table3[[#This Row],[Min]])</f>
        <v/>
      </c>
      <c r="K22" s="24">
        <f>20*1000</f>
        <v/>
      </c>
      <c r="L22" s="25">
        <f>MIN(Table4[Exportation])</f>
        <v/>
      </c>
      <c r="M22" s="25">
        <f>MAX(Table4[Exportation])</f>
        <v/>
      </c>
      <c r="N22" s="35">
        <f>(Table4[[#This Row],[Exportation]]-Table4[[#This Row],[Min]])/(Table4[[#This Row],[Max]]-Table4[[#This Row],[Min]])</f>
        <v/>
      </c>
      <c r="P22" s="24">
        <f>0*1000</f>
        <v/>
      </c>
      <c r="Q22" s="25">
        <f>MIN(Table5[Importation])</f>
        <v/>
      </c>
      <c r="R22" s="25">
        <f>MAX(Table5[Importation])</f>
        <v/>
      </c>
      <c r="S22" s="35">
        <f>(Table5[[#This Row],[Importation]]-Table5[[#This Row],[Min]])/(Table5[[#This Row],[Max]]-Table5[[#This Row],[Min]])</f>
        <v/>
      </c>
      <c r="T22" s="1">
        <f>1-Table5[[#This Row],[Importation_N]]</f>
        <v/>
      </c>
      <c r="V22" s="27">
        <f>238.5*1000</f>
        <v/>
      </c>
      <c r="W22" s="26">
        <f>MIN(Table6[Production_Olives])</f>
        <v/>
      </c>
      <c r="X22" s="26">
        <f>MAX(Table6[Production_Olives])</f>
        <v/>
      </c>
      <c r="Y22" s="39">
        <f>(Table6[[#This Row],[Production_Olives]]-Table6[[#This Row],[Min]])/(Table6[[#This Row],[Max]]-Table6[[#This Row],[Min]])</f>
        <v/>
      </c>
      <c r="AA22" s="12" t="n">
        <v>0.021</v>
      </c>
      <c r="AB22" s="13">
        <f>MIN(Table8[PIB])</f>
        <v/>
      </c>
      <c r="AC22" s="13">
        <f>MAX(Table8[PIB])</f>
        <v/>
      </c>
      <c r="AD22" s="43">
        <f>(Table8[[#This Row],[PIB]]-Table8[[#This Row],[Min]])/(Table8[[#This Row],[Max]]-Table8[[#This Row],[Min]])</f>
        <v/>
      </c>
      <c r="AF22" s="12" t="n">
        <v>0.027</v>
      </c>
      <c r="AG22" s="13">
        <f>MIN(Table9[Inflation])</f>
        <v/>
      </c>
      <c r="AH22" s="13">
        <f>MAX(Table9[Inflation])</f>
        <v/>
      </c>
      <c r="AI22" s="43">
        <f>(Table9[[#This Row],[Inflation]]-Table9[[#This Row],[Min]])/(Table9[[#This Row],[Max]]-Table9[[#This Row],[Min]])</f>
        <v/>
      </c>
      <c r="AJ22" s="45">
        <f>1-Table9[[#This Row],[Inflation_N]]</f>
        <v/>
      </c>
      <c r="AL22" s="24" t="n">
        <v>652.3239278378377</v>
      </c>
      <c r="AM22" s="25">
        <f>MIN(Table10[PriceAVG])</f>
        <v/>
      </c>
      <c r="AN22" s="25">
        <f>MAX(Table10[PriceAVG])</f>
        <v/>
      </c>
      <c r="AO22" s="35">
        <f>(Table10[[#This Row],[PriceAVG]]-Table10[[#This Row],[Min]])/(Table10[[#This Row],[Max]]-Table10[[#This Row],[Min]])</f>
        <v/>
      </c>
      <c r="AP22" s="1">
        <f>1-Table10[[#This Row],[Inflation_N]]</f>
        <v/>
      </c>
      <c r="AR22" s="24" t="n">
        <v>705.26</v>
      </c>
      <c r="AS22" s="25">
        <f>MIN(Table11[Precipitation (mm)])</f>
        <v/>
      </c>
      <c r="AT22" s="25">
        <f>MAX(Table11[Precipitation (mm)])</f>
        <v/>
      </c>
      <c r="AU22" s="35">
        <f>(Table11[[#This Row],[Precipitation (mm)]]-Table11[[#This Row],[Min]])/(Table11[[#This Row],[Max]]-Table11[[#This Row],[Min]])</f>
        <v/>
      </c>
    </row>
    <row r="23">
      <c r="A23" s="25">
        <f>417.3*1000</f>
        <v/>
      </c>
      <c r="B23">
        <f>MIN(Table2[Consumption])</f>
        <v/>
      </c>
      <c r="C23" s="25">
        <f>MAX(Table2[Consumption])</f>
        <v/>
      </c>
      <c r="D23" s="35">
        <f>(Table2[[#This Row],[Consumption]]-Table2[[#This Row],[Min]])/(Table2[[#This Row],[Max]]-Table2[[#This Row],[Min]])</f>
        <v/>
      </c>
      <c r="F23" s="25">
        <f>173.6*1000</f>
        <v/>
      </c>
      <c r="G23" s="25">
        <f>MIN(Table3[Production])</f>
        <v/>
      </c>
      <c r="H23" s="25">
        <f>MAX(Table3[Production])</f>
        <v/>
      </c>
      <c r="I23" s="35">
        <f>(Table3[[#This Row],[Production]]-Table3[[#This Row],[Min]])/(Table3[[#This Row],[Max]]-Table3[[#This Row],[Min]])</f>
        <v/>
      </c>
      <c r="K23" s="25">
        <f>197*1000</f>
        <v/>
      </c>
      <c r="L23" s="25">
        <f>MIN(Table4[Exportation])</f>
        <v/>
      </c>
      <c r="M23" s="25">
        <f>MAX(Table4[Exportation])</f>
        <v/>
      </c>
      <c r="N23" s="35">
        <f>(Table4[[#This Row],[Exportation]]-Table4[[#This Row],[Min]])/(Table4[[#This Row],[Max]]-Table4[[#This Row],[Min]])</f>
        <v/>
      </c>
      <c r="P23" s="25">
        <f>48.6*1000</f>
        <v/>
      </c>
      <c r="Q23" s="25">
        <f>MIN(Table5[Importation])</f>
        <v/>
      </c>
      <c r="R23" s="25">
        <f>MAX(Table5[Importation])</f>
        <v/>
      </c>
      <c r="S23" s="35">
        <f>(Table5[[#This Row],[Importation]]-Table5[[#This Row],[Min]])/(Table5[[#This Row],[Max]]-Table5[[#This Row],[Min]])</f>
        <v/>
      </c>
      <c r="T23" s="1">
        <f>1-Table5[[#This Row],[Importation_N]]</f>
        <v/>
      </c>
      <c r="V23" s="26">
        <f>40*1000</f>
        <v/>
      </c>
      <c r="W23" s="26">
        <f>MIN(Table6[Production_Olives])</f>
        <v/>
      </c>
      <c r="X23" s="26">
        <f>MAX(Table6[Production_Olives])</f>
        <v/>
      </c>
      <c r="Y23" s="39">
        <f>(Table6[[#This Row],[Production_Olives]]-Table6[[#This Row],[Min]])/(Table6[[#This Row],[Max]]-Table6[[#This Row],[Min]])</f>
        <v/>
      </c>
      <c r="AA23" s="13" t="n">
        <v>0.008999999999999999</v>
      </c>
      <c r="AB23" s="13">
        <f>MIN(Table8[PIB])</f>
        <v/>
      </c>
      <c r="AC23" s="13">
        <f>MAX(Table8[PIB])</f>
        <v/>
      </c>
      <c r="AD23" s="43">
        <f>(Table8[[#This Row],[PIB]]-Table8[[#This Row],[Min]])/(Table8[[#This Row],[Max]]-Table8[[#This Row],[Min]])</f>
        <v/>
      </c>
      <c r="AF23" s="13" t="n">
        <v>0.011</v>
      </c>
      <c r="AG23" s="13">
        <f>MIN(Table9[Inflation])</f>
        <v/>
      </c>
      <c r="AH23" s="13">
        <f>MAX(Table9[Inflation])</f>
        <v/>
      </c>
      <c r="AI23" s="43">
        <f>(Table9[[#This Row],[Inflation]]-Table9[[#This Row],[Min]])/(Table9[[#This Row],[Max]]-Table9[[#This Row],[Min]])</f>
        <v/>
      </c>
      <c r="AJ23" s="45">
        <f>1-Table9[[#This Row],[Inflation_N]]</f>
        <v/>
      </c>
      <c r="AL23" s="25" t="n">
        <v>316.12</v>
      </c>
      <c r="AM23" s="25">
        <f>MIN(Table10[PriceAVG])</f>
        <v/>
      </c>
      <c r="AN23" s="25">
        <f>MAX(Table10[PriceAVG])</f>
        <v/>
      </c>
      <c r="AO23" s="35">
        <f>(Table10[[#This Row],[PriceAVG]]-Table10[[#This Row],[Min]])/(Table10[[#This Row],[Max]]-Table10[[#This Row],[Min]])</f>
        <v/>
      </c>
      <c r="AP23" s="1">
        <f>1-Table10[[#This Row],[Inflation_N]]</f>
        <v/>
      </c>
      <c r="AR23" s="25" t="n">
        <v>1212.48</v>
      </c>
      <c r="AS23" s="25">
        <f>MIN(Table11[Precipitation (mm)])</f>
        <v/>
      </c>
      <c r="AT23" s="25">
        <f>MAX(Table11[Precipitation (mm)])</f>
        <v/>
      </c>
      <c r="AU23" s="35">
        <f>(Table11[[#This Row],[Precipitation (mm)]]-Table11[[#This Row],[Min]])/(Table11[[#This Row],[Max]]-Table11[[#This Row],[Min]])</f>
        <v/>
      </c>
    </row>
    <row r="24">
      <c r="A24" s="24">
        <f>407.6*1000</f>
        <v/>
      </c>
      <c r="B24">
        <f>MIN(Table2[Consumption])</f>
        <v/>
      </c>
      <c r="C24" s="25">
        <f>MAX(Table2[Consumption])</f>
        <v/>
      </c>
      <c r="D24" s="35">
        <f>(Table2[[#This Row],[Consumption]]-Table2[[#This Row],[Min]])/(Table2[[#This Row],[Max]]-Table2[[#This Row],[Min]])</f>
        <v/>
      </c>
      <c r="F24" s="24">
        <f>366.5*1000</f>
        <v/>
      </c>
      <c r="G24" s="24">
        <f>MIN(Table3[Production])</f>
        <v/>
      </c>
      <c r="H24" s="24">
        <f>MAX(Table3[Production])</f>
        <v/>
      </c>
      <c r="I24" s="35">
        <f>(Table3[[#This Row],[Production]]-Table3[[#This Row],[Min]])/(Table3[[#This Row],[Max]]-Table3[[#This Row],[Min]])</f>
        <v/>
      </c>
      <c r="K24" s="24">
        <f>80.2*1000</f>
        <v/>
      </c>
      <c r="L24" s="25">
        <f>MIN(Table4[Exportation])</f>
        <v/>
      </c>
      <c r="M24" s="25">
        <f>MAX(Table4[Exportation])</f>
        <v/>
      </c>
      <c r="N24" s="35">
        <f>(Table4[[#This Row],[Exportation]]-Table4[[#This Row],[Min]])/(Table4[[#This Row],[Max]]-Table4[[#This Row],[Min]])</f>
        <v/>
      </c>
      <c r="P24" s="24">
        <f>81.8*1000</f>
        <v/>
      </c>
      <c r="Q24" s="25">
        <f>MIN(Table5[Importation])</f>
        <v/>
      </c>
      <c r="R24" s="25">
        <f>MAX(Table5[Importation])</f>
        <v/>
      </c>
      <c r="S24" s="35">
        <f>(Table5[[#This Row],[Importation]]-Table5[[#This Row],[Min]])/(Table5[[#This Row],[Max]]-Table5[[#This Row],[Min]])</f>
        <v/>
      </c>
      <c r="T24" s="1">
        <f>1-Table5[[#This Row],[Importation_N]]</f>
        <v/>
      </c>
      <c r="V24" s="27">
        <f>60*1000</f>
        <v/>
      </c>
      <c r="W24" s="26">
        <f>MIN(Table6[Production_Olives])</f>
        <v/>
      </c>
      <c r="X24" s="26">
        <f>MAX(Table6[Production_Olives])</f>
        <v/>
      </c>
      <c r="Y24" s="39">
        <f>(Table6[[#This Row],[Production_Olives]]-Table6[[#This Row],[Min]])/(Table6[[#This Row],[Max]]-Table6[[#This Row],[Min]])</f>
        <v/>
      </c>
      <c r="AA24" s="12" t="n">
        <v>0.006</v>
      </c>
      <c r="AB24" s="13">
        <f>MIN(Table8[PIB])</f>
        <v/>
      </c>
      <c r="AC24" s="13">
        <f>MAX(Table8[PIB])</f>
        <v/>
      </c>
      <c r="AD24" s="43">
        <f>(Table8[[#This Row],[PIB]]-Table8[[#This Row],[Min]])/(Table8[[#This Row],[Max]]-Table8[[#This Row],[Min]])</f>
        <v/>
      </c>
      <c r="AF24" s="12" t="n">
        <v>0.006</v>
      </c>
      <c r="AG24" s="13">
        <f>MIN(Table9[Inflation])</f>
        <v/>
      </c>
      <c r="AH24" s="13">
        <f>MAX(Table9[Inflation])</f>
        <v/>
      </c>
      <c r="AI24" s="43">
        <f>(Table9[[#This Row],[Inflation]]-Table9[[#This Row],[Min]])/(Table9[[#This Row],[Max]]-Table9[[#This Row],[Min]])</f>
        <v/>
      </c>
      <c r="AJ24" s="45">
        <f>1-Table9[[#This Row],[Inflation_N]]</f>
        <v/>
      </c>
      <c r="AL24" s="24" t="n">
        <v>288.0784981386394</v>
      </c>
      <c r="AM24" s="25">
        <f>MIN(Table10[PriceAVG])</f>
        <v/>
      </c>
      <c r="AN24" s="25">
        <f>MAX(Table10[PriceAVG])</f>
        <v/>
      </c>
      <c r="AO24" s="35">
        <f>(Table10[[#This Row],[PriceAVG]]-Table10[[#This Row],[Min]])/(Table10[[#This Row],[Max]]-Table10[[#This Row],[Min]])</f>
        <v/>
      </c>
      <c r="AP24" s="1">
        <f>1-Table10[[#This Row],[Inflation_N]]</f>
        <v/>
      </c>
      <c r="AR24" s="24" t="n">
        <v>1170.85</v>
      </c>
      <c r="AS24" s="25">
        <f>MIN(Table11[Precipitation (mm)])</f>
        <v/>
      </c>
      <c r="AT24" s="25">
        <f>MAX(Table11[Precipitation (mm)])</f>
        <v/>
      </c>
      <c r="AU24" s="35">
        <f>(Table11[[#This Row],[Precipitation (mm)]]-Table11[[#This Row],[Min]])/(Table11[[#This Row],[Max]]-Table11[[#This Row],[Min]])</f>
        <v/>
      </c>
    </row>
    <row r="25">
      <c r="A25" s="25">
        <f>421.9*1000</f>
        <v/>
      </c>
      <c r="B25">
        <f>MIN(Table2[Consumption])</f>
        <v/>
      </c>
      <c r="C25" s="25">
        <f>MAX(Table2[Consumption])</f>
        <v/>
      </c>
      <c r="D25" s="35">
        <f>(Table2[[#This Row],[Consumption]]-Table2[[#This Row],[Min]])/(Table2[[#This Row],[Max]]-Table2[[#This Row],[Min]])</f>
        <v/>
      </c>
      <c r="F25" s="25">
        <f>273.5*1000</f>
        <v/>
      </c>
      <c r="G25" s="25">
        <f>MIN(Table3[Production])</f>
        <v/>
      </c>
      <c r="H25" s="25">
        <f>MAX(Table3[Production])</f>
        <v/>
      </c>
      <c r="I25" s="35">
        <f>(Table3[[#This Row],[Production]]-Table3[[#This Row],[Min]])/(Table3[[#This Row],[Max]]-Table3[[#This Row],[Min]])</f>
        <v/>
      </c>
      <c r="K25" s="25">
        <f>76.1*1000</f>
        <v/>
      </c>
      <c r="L25" s="25">
        <f>MIN(Table4[Exportation])</f>
        <v/>
      </c>
      <c r="M25" s="25">
        <f>MAX(Table4[Exportation])</f>
        <v/>
      </c>
      <c r="N25" s="35">
        <f>(Table4[[#This Row],[Exportation]]-Table4[[#This Row],[Min]])/(Table4[[#This Row],[Max]]-Table4[[#This Row],[Min]])</f>
        <v/>
      </c>
      <c r="P25" s="25">
        <f>51.2*1000</f>
        <v/>
      </c>
      <c r="Q25" s="25">
        <f>MIN(Table5[Importation])</f>
        <v/>
      </c>
      <c r="R25" s="25">
        <f>MAX(Table5[Importation])</f>
        <v/>
      </c>
      <c r="S25" s="35">
        <f>(Table5[[#This Row],[Importation]]-Table5[[#This Row],[Min]])/(Table5[[#This Row],[Max]]-Table5[[#This Row],[Min]])</f>
        <v/>
      </c>
      <c r="T25" s="1">
        <f>1-Table5[[#This Row],[Importation_N]]</f>
        <v/>
      </c>
      <c r="V25" s="26">
        <f>83*1000</f>
        <v/>
      </c>
      <c r="W25" s="26">
        <f>MIN(Table6[Production_Olives])</f>
        <v/>
      </c>
      <c r="X25" s="26">
        <f>MAX(Table6[Production_Olives])</f>
        <v/>
      </c>
      <c r="Y25" s="39">
        <f>(Table6[[#This Row],[Production_Olives]]-Table6[[#This Row],[Min]])/(Table6[[#This Row],[Max]]-Table6[[#This Row],[Min]])</f>
        <v/>
      </c>
      <c r="AA25" s="13" t="n">
        <v>-0.089</v>
      </c>
      <c r="AB25" s="13">
        <f>MIN(Table8[PIB])</f>
        <v/>
      </c>
      <c r="AC25" s="13">
        <f>MAX(Table8[PIB])</f>
        <v/>
      </c>
      <c r="AD25" s="43">
        <f>(Table8[[#This Row],[PIB]]-Table8[[#This Row],[Min]])/(Table8[[#This Row],[Max]]-Table8[[#This Row],[Min]])</f>
        <v/>
      </c>
      <c r="AF25" s="13" t="n">
        <v>-0.001</v>
      </c>
      <c r="AG25" s="13">
        <f>MIN(Table9[Inflation])</f>
        <v/>
      </c>
      <c r="AH25" s="13">
        <f>MAX(Table9[Inflation])</f>
        <v/>
      </c>
      <c r="AI25" s="43">
        <f>(Table9[[#This Row],[Inflation]]-Table9[[#This Row],[Min]])/(Table9[[#This Row],[Max]]-Table9[[#This Row],[Min]])</f>
        <v/>
      </c>
      <c r="AJ25" s="45">
        <f>1-Table9[[#This Row],[Inflation_N]]</f>
        <v/>
      </c>
      <c r="AL25" s="25" t="n">
        <v>226.2265293093095</v>
      </c>
      <c r="AM25" s="25">
        <f>MIN(Table10[PriceAVG])</f>
        <v/>
      </c>
      <c r="AN25" s="25">
        <f>MAX(Table10[PriceAVG])</f>
        <v/>
      </c>
      <c r="AO25" s="35">
        <f>(Table10[[#This Row],[PriceAVG]]-Table10[[#This Row],[Min]])/(Table10[[#This Row],[Max]]-Table10[[#This Row],[Min]])</f>
        <v/>
      </c>
      <c r="AP25" s="1">
        <f>1-Table10[[#This Row],[Inflation_N]]</f>
        <v/>
      </c>
      <c r="AR25" s="25" t="n">
        <v>981.35</v>
      </c>
      <c r="AS25" s="25">
        <f>MIN(Table11[Precipitation (mm)])</f>
        <v/>
      </c>
      <c r="AT25" s="25">
        <f>MAX(Table11[Precipitation (mm)])</f>
        <v/>
      </c>
      <c r="AU25" s="35">
        <f>(Table11[[#This Row],[Precipitation (mm)]]-Table11[[#This Row],[Min]])/(Table11[[#This Row],[Max]]-Table11[[#This Row],[Min]])</f>
        <v/>
      </c>
    </row>
    <row r="26">
      <c r="A26" s="24">
        <f>457.1*1000</f>
        <v/>
      </c>
      <c r="B26">
        <f>MIN(Table2[Consumption])</f>
        <v/>
      </c>
      <c r="C26" s="25">
        <f>MAX(Table2[Consumption])</f>
        <v/>
      </c>
      <c r="D26" s="35">
        <f>(Table2[[#This Row],[Consumption]]-Table2[[#This Row],[Min]])/(Table2[[#This Row],[Max]]-Table2[[#This Row],[Min]])</f>
        <v/>
      </c>
      <c r="F26" s="24">
        <f>329*1000</f>
        <v/>
      </c>
      <c r="G26" s="24">
        <f>MIN(Table3[Production])</f>
        <v/>
      </c>
      <c r="H26" s="24">
        <f>MAX(Table3[Production])</f>
        <v/>
      </c>
      <c r="I26" s="35">
        <f>(Table3[[#This Row],[Production]]-Table3[[#This Row],[Min]])/(Table3[[#This Row],[Max]]-Table3[[#This Row],[Min]])</f>
        <v/>
      </c>
      <c r="K26" s="24">
        <f>72.7*1000</f>
        <v/>
      </c>
      <c r="L26" s="25">
        <f>MIN(Table4[Exportation])</f>
        <v/>
      </c>
      <c r="M26" s="25">
        <f>MAX(Table4[Exportation])</f>
        <v/>
      </c>
      <c r="N26" s="35">
        <f>(Table4[[#This Row],[Exportation]]-Table4[[#This Row],[Min]])/(Table4[[#This Row],[Max]]-Table4[[#This Row],[Min]])</f>
        <v/>
      </c>
      <c r="P26" s="24">
        <f>51.5*1000</f>
        <v/>
      </c>
      <c r="Q26" s="25">
        <f>MIN(Table5[Importation])</f>
        <v/>
      </c>
      <c r="R26" s="25">
        <f>MAX(Table5[Importation])</f>
        <v/>
      </c>
      <c r="S26" s="35">
        <f>(Table5[[#This Row],[Importation]]-Table5[[#This Row],[Min]])/(Table5[[#This Row],[Max]]-Table5[[#This Row],[Min]])</f>
        <v/>
      </c>
      <c r="T26" s="1">
        <f>1-Table5[[#This Row],[Importation_N]]</f>
        <v/>
      </c>
      <c r="V26" s="27">
        <f>62.5*1000</f>
        <v/>
      </c>
      <c r="W26" s="26">
        <f>MIN(Table6[Production_Olives])</f>
        <v/>
      </c>
      <c r="X26" s="26">
        <f>MAX(Table6[Production_Olives])</f>
        <v/>
      </c>
      <c r="Y26" s="39">
        <f>(Table6[[#This Row],[Production_Olives]]-Table6[[#This Row],[Min]])/(Table6[[#This Row],[Max]]-Table6[[#This Row],[Min]])</f>
        <v/>
      </c>
      <c r="AA26" s="12" t="n">
        <v>0.089</v>
      </c>
      <c r="AB26" s="13">
        <f>MIN(Table8[PIB])</f>
        <v/>
      </c>
      <c r="AC26" s="13">
        <f>MAX(Table8[PIB])</f>
        <v/>
      </c>
      <c r="AD26" s="43">
        <f>(Table8[[#This Row],[PIB]]-Table8[[#This Row],[Min]])/(Table8[[#This Row],[Max]]-Table8[[#This Row],[Min]])</f>
        <v/>
      </c>
      <c r="AF26" s="12" t="n">
        <v>0.019</v>
      </c>
      <c r="AG26" s="13">
        <f>MIN(Table9[Inflation])</f>
        <v/>
      </c>
      <c r="AH26" s="13">
        <f>MAX(Table9[Inflation])</f>
        <v/>
      </c>
      <c r="AI26" s="43">
        <f>(Table9[[#This Row],[Inflation]]-Table9[[#This Row],[Min]])/(Table9[[#This Row],[Max]]-Table9[[#This Row],[Min]])</f>
        <v/>
      </c>
      <c r="AJ26" s="45">
        <f>1-Table9[[#This Row],[Inflation_N]]</f>
        <v/>
      </c>
      <c r="AL26" s="24" t="n">
        <v>305.3089123867069</v>
      </c>
      <c r="AM26" s="25">
        <f>MIN(Table10[PriceAVG])</f>
        <v/>
      </c>
      <c r="AN26" s="25">
        <f>MAX(Table10[PriceAVG])</f>
        <v/>
      </c>
      <c r="AO26" s="35">
        <f>(Table10[[#This Row],[PriceAVG]]-Table10[[#This Row],[Min]])/(Table10[[#This Row],[Max]]-Table10[[#This Row],[Min]])</f>
        <v/>
      </c>
      <c r="AP26" s="1">
        <f>1-Table10[[#This Row],[Inflation_N]]</f>
        <v/>
      </c>
      <c r="AR26" s="24" t="n">
        <v>990.35</v>
      </c>
      <c r="AS26" s="25">
        <f>MIN(Table11[Precipitation (mm)])</f>
        <v/>
      </c>
      <c r="AT26" s="25">
        <f>MAX(Table11[Precipitation (mm)])</f>
        <v/>
      </c>
      <c r="AU26" s="35">
        <f>(Table11[[#This Row],[Precipitation (mm)]]-Table11[[#This Row],[Min]])/(Table11[[#This Row],[Max]]-Table11[[#This Row],[Min]])</f>
        <v/>
      </c>
    </row>
    <row r="27">
      <c r="A27" s="25">
        <f>433.8*1000</f>
        <v/>
      </c>
      <c r="B27">
        <f>MIN(Table2[Consumption])</f>
        <v/>
      </c>
      <c r="C27" s="25">
        <f>MAX(Table2[Consumption])</f>
        <v/>
      </c>
      <c r="D27" s="35">
        <f>(Table2[[#This Row],[Consumption]]-Table2[[#This Row],[Min]])/(Table2[[#This Row],[Max]]-Table2[[#This Row],[Min]])</f>
        <v/>
      </c>
      <c r="F27" s="25">
        <f>240.9*1000</f>
        <v/>
      </c>
      <c r="G27" s="25">
        <f>MIN(Table3[Production])</f>
        <v/>
      </c>
      <c r="H27" s="25">
        <f>MAX(Table3[Production])</f>
        <v/>
      </c>
      <c r="I27" s="35">
        <f>(Table3[[#This Row],[Production]]-Table3[[#This Row],[Min]])/(Table3[[#This Row],[Max]]-Table3[[#This Row],[Min]])</f>
        <v/>
      </c>
      <c r="K27" s="25">
        <f>59*1000</f>
        <v/>
      </c>
      <c r="L27" s="25">
        <f>MIN(Table4[Exportation])</f>
        <v/>
      </c>
      <c r="M27" s="25">
        <f>MAX(Table4[Exportation])</f>
        <v/>
      </c>
      <c r="N27" s="35">
        <f>(Table4[[#This Row],[Exportation]]-Table4[[#This Row],[Min]])/(Table4[[#This Row],[Max]]-Table4[[#This Row],[Min]])</f>
        <v/>
      </c>
      <c r="P27" s="25">
        <f>64.6*1000</f>
        <v/>
      </c>
      <c r="Q27" s="25">
        <f>MIN(Table5[Importation])</f>
        <v/>
      </c>
      <c r="R27" s="25">
        <f>MAX(Table5[Importation])</f>
        <v/>
      </c>
      <c r="S27" s="35">
        <f>(Table5[[#This Row],[Importation]]-Table5[[#This Row],[Min]])/(Table5[[#This Row],[Max]]-Table5[[#This Row],[Min]])</f>
        <v/>
      </c>
      <c r="T27" s="1">
        <f>1-Table5[[#This Row],[Importation_N]]</f>
        <v/>
      </c>
      <c r="V27" s="26">
        <f>67.3*1000</f>
        <v/>
      </c>
      <c r="W27" s="26">
        <f>MIN(Table6[Production_Olives])</f>
        <v/>
      </c>
      <c r="X27" s="26">
        <f>MAX(Table6[Production_Olives])</f>
        <v/>
      </c>
      <c r="Y27" s="39">
        <f>(Table6[[#This Row],[Production_Olives]]-Table6[[#This Row],[Min]])/(Table6[[#This Row],[Max]]-Table6[[#This Row],[Min]])</f>
        <v/>
      </c>
      <c r="AA27" s="13" t="n">
        <v>0.048</v>
      </c>
      <c r="AB27" s="13">
        <f>MIN(Table8[PIB])</f>
        <v/>
      </c>
      <c r="AC27" s="13">
        <f>MAX(Table8[PIB])</f>
        <v/>
      </c>
      <c r="AD27" s="43">
        <f>(Table8[[#This Row],[PIB]]-Table8[[#This Row],[Min]])/(Table8[[#This Row],[Max]]-Table8[[#This Row],[Min]])</f>
        <v/>
      </c>
      <c r="AF27" s="13" t="n">
        <v>0.082</v>
      </c>
      <c r="AG27" s="13">
        <f>MIN(Table9[Inflation])</f>
        <v/>
      </c>
      <c r="AH27" s="13">
        <f>MAX(Table9[Inflation])</f>
        <v/>
      </c>
      <c r="AI27" s="43">
        <f>(Table9[[#This Row],[Inflation]]-Table9[[#This Row],[Min]])/(Table9[[#This Row],[Max]]-Table9[[#This Row],[Min]])</f>
        <v/>
      </c>
      <c r="AJ27" s="45">
        <f>1-Table9[[#This Row],[Inflation_N]]</f>
        <v/>
      </c>
      <c r="AL27" s="25" t="n">
        <v>362.2600823045267</v>
      </c>
      <c r="AM27" s="25">
        <f>MIN(Table10[PriceAVG])</f>
        <v/>
      </c>
      <c r="AN27" s="25">
        <f>MAX(Table10[PriceAVG])</f>
        <v/>
      </c>
      <c r="AO27" s="35">
        <f>(Table10[[#This Row],[PriceAVG]]-Table10[[#This Row],[Min]])/(Table10[[#This Row],[Max]]-Table10[[#This Row],[Min]])</f>
        <v/>
      </c>
      <c r="AP27" s="1">
        <f>1-Table10[[#This Row],[Inflation_N]]</f>
        <v/>
      </c>
      <c r="AR27" s="25" t="n">
        <v>818.17</v>
      </c>
      <c r="AS27" s="25">
        <f>MIN(Table11[Precipitation (mm)])</f>
        <v/>
      </c>
      <c r="AT27" s="25">
        <f>MAX(Table11[Precipitation (mm)])</f>
        <v/>
      </c>
      <c r="AU27" s="35">
        <f>(Table11[[#This Row],[Precipitation (mm)]]-Table11[[#This Row],[Min]])/(Table11[[#This Row],[Max]]-Table11[[#This Row],[Min]])</f>
        <v/>
      </c>
    </row>
    <row r="28">
      <c r="A28" s="24">
        <f>411.5*1000</f>
        <v/>
      </c>
      <c r="B28">
        <f>MIN(Table2[Consumption])</f>
        <v/>
      </c>
      <c r="C28" s="25">
        <f>MAX(Table2[Consumption])</f>
        <v/>
      </c>
      <c r="D28" s="35">
        <f>(Table2[[#This Row],[Consumption]]-Table2[[#This Row],[Min]])/(Table2[[#This Row],[Max]]-Table2[[#This Row],[Min]])</f>
        <v/>
      </c>
      <c r="F28" s="24">
        <f>328.5*1000</f>
        <v/>
      </c>
      <c r="G28" s="24">
        <f>MIN(Table3[Production])</f>
        <v/>
      </c>
      <c r="H28" s="24">
        <f>MAX(Table3[Production])</f>
        <v/>
      </c>
      <c r="I28" s="35">
        <f>(Table3[[#This Row],[Production]]-Table3[[#This Row],[Min]])/(Table3[[#This Row],[Max]]-Table3[[#This Row],[Min]])</f>
        <v/>
      </c>
      <c r="K28" s="24">
        <f>55.1*1000</f>
        <v/>
      </c>
      <c r="L28" s="25">
        <f>MIN(Table4[Exportation])</f>
        <v/>
      </c>
      <c r="M28" s="25">
        <f>MAX(Table4[Exportation])</f>
        <v/>
      </c>
      <c r="N28" s="35">
        <f>(Table4[[#This Row],[Exportation]]-Table4[[#This Row],[Min]])/(Table4[[#This Row],[Max]]-Table4[[#This Row],[Min]])</f>
        <v/>
      </c>
      <c r="P28" s="24">
        <f>68.6*1000</f>
        <v/>
      </c>
      <c r="Q28" s="25">
        <f>MIN(Table5[Importation])</f>
        <v/>
      </c>
      <c r="R28" s="25">
        <f>MAX(Table5[Importation])</f>
        <v/>
      </c>
      <c r="S28" s="35">
        <f>(Table5[[#This Row],[Importation]]-Table5[[#This Row],[Min]])/(Table5[[#This Row],[Max]]-Table5[[#This Row],[Min]])</f>
        <v/>
      </c>
      <c r="T28" s="1">
        <f>1-Table5[[#This Row],[Importation_N]]</f>
        <v/>
      </c>
      <c r="V28" s="27">
        <f>77.4*1000</f>
        <v/>
      </c>
      <c r="W28" s="26">
        <f>MIN(Table6[Production_Olives])</f>
        <v/>
      </c>
      <c r="X28" s="26">
        <f>MAX(Table6[Production_Olives])</f>
        <v/>
      </c>
      <c r="Y28" s="39">
        <f>(Table6[[#This Row],[Production_Olives]]-Table6[[#This Row],[Min]])/(Table6[[#This Row],[Max]]-Table6[[#This Row],[Min]])</f>
        <v/>
      </c>
      <c r="AA28" s="12" t="n">
        <v>0.01</v>
      </c>
      <c r="AB28" s="13">
        <f>MIN(Table8[PIB])</f>
        <v/>
      </c>
      <c r="AC28" s="13">
        <f>MAX(Table8[PIB])</f>
        <v/>
      </c>
      <c r="AD28" s="43">
        <f>(Table8[[#This Row],[PIB]]-Table8[[#This Row],[Min]])/(Table8[[#This Row],[Max]]-Table8[[#This Row],[Min]])</f>
        <v/>
      </c>
      <c r="AF28" s="12" t="n">
        <v>0.056</v>
      </c>
      <c r="AG28" s="13">
        <f>MIN(Table9[Inflation])</f>
        <v/>
      </c>
      <c r="AH28" s="13">
        <f>MAX(Table9[Inflation])</f>
        <v/>
      </c>
      <c r="AI28" s="43">
        <f>(Table9[[#This Row],[Inflation]]-Table9[[#This Row],[Min]])/(Table9[[#This Row],[Max]]-Table9[[#This Row],[Min]])</f>
        <v/>
      </c>
      <c r="AJ28" s="45">
        <f>1-Table9[[#This Row],[Inflation_N]]</f>
        <v/>
      </c>
      <c r="AL28" s="24" t="n">
        <v>594.5806451612904</v>
      </c>
      <c r="AM28" s="25">
        <f>MIN(Table10[PriceAVG])</f>
        <v/>
      </c>
      <c r="AN28" s="25">
        <f>MAX(Table10[PriceAVG])</f>
        <v/>
      </c>
      <c r="AO28" s="35">
        <f>(Table10[[#This Row],[PriceAVG]]-Table10[[#This Row],[Min]])/(Table10[[#This Row],[Max]]-Table10[[#This Row],[Min]])</f>
        <v/>
      </c>
      <c r="AP28" s="1">
        <f>1-Table10[[#This Row],[Inflation_N]]</f>
        <v/>
      </c>
      <c r="AR28" s="24" t="n">
        <v>1025.37</v>
      </c>
      <c r="AS28" s="25">
        <f>MIN(Table11[Precipitation (mm)])</f>
        <v/>
      </c>
      <c r="AT28" s="25">
        <f>MAX(Table11[Precipitation (mm)])</f>
        <v/>
      </c>
      <c r="AU28" s="35">
        <f>(Table11[[#This Row],[Precipitation (mm)]]-Table11[[#This Row],[Min]])/(Table11[[#This Row],[Max]]-Table11[[#This Row],[Min]])</f>
        <v/>
      </c>
    </row>
    <row r="29">
      <c r="A29" s="30">
        <f>395*1000</f>
        <v/>
      </c>
      <c r="B29">
        <f>MIN(Table2[Consumption])</f>
        <v/>
      </c>
      <c r="C29" s="30">
        <f>MAX(Table2[Consumption])</f>
        <v/>
      </c>
      <c r="D29" s="36">
        <f>(Table2[[#This Row],[Consumption]]-Table2[[#This Row],[Min]])/(Table2[[#This Row],[Max]]-Table2[[#This Row],[Min]])</f>
        <v/>
      </c>
      <c r="F29" s="30">
        <f>224*1000</f>
        <v/>
      </c>
      <c r="G29" s="30">
        <f>MIN(Table3[Production])</f>
        <v/>
      </c>
      <c r="H29" s="30">
        <f>MAX(Table3[Production])</f>
        <v/>
      </c>
      <c r="I29" s="36">
        <f>(Table3[[#This Row],[Production]]-Table3[[#This Row],[Min]])/(Table3[[#This Row],[Max]]-Table3[[#This Row],[Min]])</f>
        <v/>
      </c>
      <c r="K29" s="30">
        <f>60*1000</f>
        <v/>
      </c>
      <c r="L29" s="30">
        <f>MIN(Table4[Exportation])</f>
        <v/>
      </c>
      <c r="M29" s="30">
        <f>MAX(Table4[Exportation])</f>
        <v/>
      </c>
      <c r="N29" s="36">
        <f>(Table4[[#This Row],[Exportation]]-Table4[[#This Row],[Min]])/(Table4[[#This Row],[Max]]-Table4[[#This Row],[Min]])</f>
        <v/>
      </c>
      <c r="P29" s="30">
        <f>95*1000</f>
        <v/>
      </c>
      <c r="Q29" s="30">
        <f>MIN(Table5[Importation])</f>
        <v/>
      </c>
      <c r="R29" s="30">
        <f>MAX(Table5[Importation])</f>
        <v/>
      </c>
      <c r="S29" s="36">
        <f>(Table5[[#This Row],[Importation]]-Table5[[#This Row],[Min]])/(Table5[[#This Row],[Max]]-Table5[[#This Row],[Min]])</f>
        <v/>
      </c>
      <c r="T29" s="1">
        <f>1-Table5[[#This Row],[Importation_N]]</f>
        <v/>
      </c>
      <c r="V29" s="31">
        <f>61.5*1000</f>
        <v/>
      </c>
      <c r="W29" s="31">
        <f>MIN(Table6[Production_Olives])</f>
        <v/>
      </c>
      <c r="X29" s="31">
        <f>MAX(Table6[Production_Olives])</f>
        <v/>
      </c>
      <c r="Y29" s="40">
        <f>(Table6[[#This Row],[Production_Olives]]-Table6[[#This Row],[Min]])/(Table6[[#This Row],[Max]]-Table6[[#This Row],[Min]])</f>
        <v/>
      </c>
      <c r="AA29" s="32" t="n">
        <v>0.007</v>
      </c>
      <c r="AB29" s="32">
        <f>MIN(Table8[PIB])</f>
        <v/>
      </c>
      <c r="AC29" s="32">
        <f>MAX(Table8[PIB])</f>
        <v/>
      </c>
      <c r="AD29" s="44">
        <f>(Table8[[#This Row],[PIB]]-Table8[[#This Row],[Min]])/(Table8[[#This Row],[Max]]-Table8[[#This Row],[Min]])</f>
        <v/>
      </c>
      <c r="AF29" s="32" t="n">
        <v>0.01</v>
      </c>
      <c r="AG29" s="32">
        <f>MIN(Table9[Inflation])</f>
        <v/>
      </c>
      <c r="AH29" s="32">
        <f>MAX(Table9[Inflation])</f>
        <v/>
      </c>
      <c r="AI29" s="44">
        <f>(Table9[[#This Row],[Inflation]]-Table9[[#This Row],[Min]])/(Table9[[#This Row],[Max]]-Table9[[#This Row],[Min]])</f>
        <v/>
      </c>
      <c r="AJ29" s="45">
        <f>1-Table9[[#This Row],[Inflation_N]]</f>
        <v/>
      </c>
      <c r="AL29" s="30" t="n">
        <v>717.1768867924528</v>
      </c>
      <c r="AM29" s="30">
        <f>MIN(Table10[PriceAVG])</f>
        <v/>
      </c>
      <c r="AN29" s="30">
        <f>MAX(Table10[PriceAVG])</f>
        <v/>
      </c>
      <c r="AO29" s="36">
        <f>(Table10[[#This Row],[PriceAVG]]-Table10[[#This Row],[Min]])/(Table10[[#This Row],[Max]]-Table10[[#This Row],[Min]])</f>
        <v/>
      </c>
      <c r="AP29" s="1">
        <f>1-Table10[[#This Row],[Inflation_N]]</f>
        <v/>
      </c>
      <c r="AR29" s="30" t="n">
        <v>1148.22</v>
      </c>
      <c r="AS29" s="30">
        <f>MIN(Table11[Precipitation (mm)])</f>
        <v/>
      </c>
      <c r="AT29" s="30">
        <f>MAX(Table11[Precipitation (mm)])</f>
        <v/>
      </c>
      <c r="AU29" s="36">
        <f>(Table11[[#This Row],[Precipitation (mm)]]-Table11[[#This Row],[Min]])/(Table11[[#This Row],[Max]]-Table11[[#This Row],[Min]])</f>
        <v/>
      </c>
    </row>
  </sheetData>
  <pageMargins left="0.7" right="0.7" top="0.75" bottom="0.75" header="0.3" footer="0.3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:F29"/>
    </sheetView>
  </sheetViews>
  <sheetFormatPr baseColWidth="8" defaultRowHeight="14.4"/>
  <cols>
    <col width="15.5546875" bestFit="1" customWidth="1" min="1" max="1"/>
    <col width="10" bestFit="1" customWidth="1" min="2" max="2"/>
    <col width="8.77734375" bestFit="1" customWidth="1" min="3" max="3"/>
    <col width="11" customWidth="1" min="4" max="4"/>
    <col width="9.88671875" bestFit="1" customWidth="1" min="5" max="5"/>
    <col width="11.44140625" bestFit="1" customWidth="1" min="6" max="6"/>
  </cols>
  <sheetData>
    <row r="1">
      <c r="A1" t="inlineStr">
        <is>
          <t>Harvest Period</t>
        </is>
      </c>
      <c r="B1" t="inlineStr">
        <is>
          <t>Country</t>
        </is>
      </c>
      <c r="C1" t="inlineStr">
        <is>
          <t>Offer</t>
        </is>
      </c>
      <c r="D1" t="inlineStr">
        <is>
          <t>Market</t>
        </is>
      </c>
      <c r="E1" t="inlineStr">
        <is>
          <t>Climate</t>
        </is>
      </c>
      <c r="F1" t="inlineStr">
        <is>
          <t>Economic</t>
        </is>
      </c>
    </row>
    <row r="2">
      <c r="A2" t="inlineStr">
        <is>
          <t>2018/2019</t>
        </is>
      </c>
      <c r="B2" t="inlineStr">
        <is>
          <t>Spain</t>
        </is>
      </c>
      <c r="C2" s="1">
        <f>(Table3[[#This Row],[Production_N]]+Table6[[#This Row],[OO_N]]+Table4[[#This Row],[Exportation_N]])/3</f>
        <v/>
      </c>
      <c r="D2" s="1">
        <f>(Table2[[#This Row],[Consumption_N]]+Table5[[#This Row],[Importation_N_Inversion]])/2</f>
        <v/>
      </c>
      <c r="E2" s="1">
        <f>Table11[[#This Row],[Precipitation_N]]</f>
        <v/>
      </c>
      <c r="F2" s="1">
        <f>(Table8[[#This Row],[PIB_N]]+Table9[[#This Row],[Inflation_N_Inversion]])/2</f>
        <v/>
      </c>
    </row>
    <row r="3">
      <c r="A3" t="inlineStr">
        <is>
          <t>2019/2020</t>
        </is>
      </c>
      <c r="B3" t="inlineStr">
        <is>
          <t>Spain</t>
        </is>
      </c>
      <c r="C3" s="1">
        <f>(Table3[[#This Row],[Production_N]]+Table6[[#This Row],[OO_N]]+Table4[[#This Row],[Exportation_N]])/3</f>
        <v/>
      </c>
      <c r="D3" s="1">
        <f>(Table2[[#This Row],[Consumption_N]]+Table5[[#This Row],[Importation_N_Inversion]])/2</f>
        <v/>
      </c>
      <c r="E3" s="1">
        <f>Table11[[#This Row],[Precipitation_N]]</f>
        <v/>
      </c>
      <c r="F3" s="1">
        <f>(Table8[[#This Row],[PIB_N]]+Table9[[#This Row],[Inflation_N_Inversion]])/2</f>
        <v/>
      </c>
    </row>
    <row r="4">
      <c r="A4" t="inlineStr">
        <is>
          <t>2020/2021</t>
        </is>
      </c>
      <c r="B4" t="inlineStr">
        <is>
          <t>Spain</t>
        </is>
      </c>
      <c r="C4" s="1">
        <f>(Table3[[#This Row],[Production_N]]+Table6[[#This Row],[OO_N]]+Table4[[#This Row],[Exportation_N]])/3</f>
        <v/>
      </c>
      <c r="D4" s="1">
        <f>(Table2[[#This Row],[Consumption_N]]+Table5[[#This Row],[Importation_N_Inversion]])/2</f>
        <v/>
      </c>
      <c r="E4" s="1">
        <f>Table11[[#This Row],[Precipitation_N]]</f>
        <v/>
      </c>
      <c r="F4" s="1">
        <f>(Table8[[#This Row],[PIB_N]]+Table9[[#This Row],[Inflation_N_Inversion]])/2</f>
        <v/>
      </c>
    </row>
    <row r="5">
      <c r="A5" t="inlineStr">
        <is>
          <t>2021/2022</t>
        </is>
      </c>
      <c r="B5" t="inlineStr">
        <is>
          <t>Spain</t>
        </is>
      </c>
      <c r="C5" s="1">
        <f>(Table3[[#This Row],[Production_N]]+Table6[[#This Row],[OO_N]]+Table4[[#This Row],[Exportation_N]])/3</f>
        <v/>
      </c>
      <c r="D5" s="1">
        <f>(Table2[[#This Row],[Consumption_N]]+Table5[[#This Row],[Importation_N_Inversion]])/2</f>
        <v/>
      </c>
      <c r="E5" s="1">
        <f>Table11[[#This Row],[Precipitation_N]]</f>
        <v/>
      </c>
      <c r="F5" s="1">
        <f>(Table8[[#This Row],[PIB_N]]+Table9[[#This Row],[Inflation_N_Inversion]])/2</f>
        <v/>
      </c>
    </row>
    <row r="6">
      <c r="A6" t="inlineStr">
        <is>
          <t>2022/2023</t>
        </is>
      </c>
      <c r="B6" t="inlineStr">
        <is>
          <t>Spain</t>
        </is>
      </c>
      <c r="C6" s="1">
        <f>(Table3[[#This Row],[Production_N]]+Table6[[#This Row],[OO_N]]+Table4[[#This Row],[Exportation_N]])/3</f>
        <v/>
      </c>
      <c r="D6" s="1">
        <f>(Table2[[#This Row],[Consumption_N]]+Table5[[#This Row],[Importation_N_Inversion]])/2</f>
        <v/>
      </c>
      <c r="E6" s="1">
        <f>Table11[[#This Row],[Precipitation_N]]</f>
        <v/>
      </c>
      <c r="F6" s="1">
        <f>(Table8[[#This Row],[PIB_N]]+Table9[[#This Row],[Inflation_N_Inversion]])/2</f>
        <v/>
      </c>
    </row>
    <row r="7">
      <c r="A7" t="inlineStr">
        <is>
          <t>2023/2024</t>
        </is>
      </c>
      <c r="B7" t="inlineStr">
        <is>
          <t>Spain</t>
        </is>
      </c>
      <c r="C7" s="1">
        <f>(Table3[[#This Row],[Production_N]]+Table6[[#This Row],[OO_N]]+Table4[[#This Row],[Exportation_N]])/3</f>
        <v/>
      </c>
      <c r="D7" s="1">
        <f>(Table2[[#This Row],[Consumption_N]]+Table5[[#This Row],[Importation_N_Inversion]])/2</f>
        <v/>
      </c>
      <c r="E7" s="1">
        <f>Table11[[#This Row],[Precipitation_N]]</f>
        <v/>
      </c>
      <c r="F7" s="1">
        <f>(Table8[[#This Row],[PIB_N]]+Table9[[#This Row],[Inflation_N_Inversion]])/2</f>
        <v/>
      </c>
    </row>
    <row r="8">
      <c r="A8" t="inlineStr">
        <is>
          <t>2024/2025</t>
        </is>
      </c>
      <c r="B8" t="inlineStr">
        <is>
          <t>Spain</t>
        </is>
      </c>
      <c r="C8" s="1">
        <f>(Table3[[#This Row],[Production_N]]+Table6[[#This Row],[OO_N]]+Table4[[#This Row],[Exportation_N]])/3</f>
        <v/>
      </c>
      <c r="D8" s="1">
        <f>(Table2[[#This Row],[Consumption_N]]+Table5[[#This Row],[Importation_N_Inversion]])/2</f>
        <v/>
      </c>
      <c r="E8" s="1">
        <f>Table11[[#This Row],[Precipitation_N]]</f>
        <v/>
      </c>
      <c r="F8" s="1">
        <f>(Table8[[#This Row],[PIB_N]]+Table9[[#This Row],[Inflation_N_Inversion]])/2</f>
        <v/>
      </c>
    </row>
    <row r="9">
      <c r="A9" t="inlineStr">
        <is>
          <t>2018/2019</t>
        </is>
      </c>
      <c r="B9" t="inlineStr">
        <is>
          <t>Portugal</t>
        </is>
      </c>
      <c r="C9" s="1">
        <f>(Table3[[#This Row],[Production_N]]+Table6[[#This Row],[OO_N]]+Table4[[#This Row],[Exportation_N]])/3</f>
        <v/>
      </c>
      <c r="D9" s="1">
        <f>(Table2[[#This Row],[Consumption_N]]+Table5[[#This Row],[Importation_N_Inversion]])/2</f>
        <v/>
      </c>
      <c r="E9" s="1">
        <f>Table11[[#This Row],[Precipitation_N]]</f>
        <v/>
      </c>
      <c r="F9" s="1">
        <f>(Table8[[#This Row],[PIB_N]]+Table9[[#This Row],[Inflation_N_Inversion]])/2</f>
        <v/>
      </c>
    </row>
    <row r="10">
      <c r="A10" t="inlineStr">
        <is>
          <t>2019/2020</t>
        </is>
      </c>
      <c r="B10" t="inlineStr">
        <is>
          <t>Portugal</t>
        </is>
      </c>
      <c r="C10" s="1">
        <f>(Table3[[#This Row],[Production_N]]+Table6[[#This Row],[OO_N]]+Table4[[#This Row],[Exportation_N]])/3</f>
        <v/>
      </c>
      <c r="D10" s="1">
        <f>(Table2[[#This Row],[Consumption_N]]+Table5[[#This Row],[Importation_N_Inversion]])/2</f>
        <v/>
      </c>
      <c r="E10" s="1">
        <f>Table11[[#This Row],[Precipitation_N]]</f>
        <v/>
      </c>
      <c r="F10" s="1">
        <f>(Table8[[#This Row],[PIB_N]]+Table9[[#This Row],[Inflation_N_Inversion]])/2</f>
        <v/>
      </c>
    </row>
    <row r="11">
      <c r="A11" t="inlineStr">
        <is>
          <t>2020/2021</t>
        </is>
      </c>
      <c r="B11" t="inlineStr">
        <is>
          <t>Portugal</t>
        </is>
      </c>
      <c r="C11" s="1">
        <f>(Table3[[#This Row],[Production_N]]+Table6[[#This Row],[OO_N]]+Table4[[#This Row],[Exportation_N]])/3</f>
        <v/>
      </c>
      <c r="D11" s="1">
        <f>(Table2[[#This Row],[Consumption_N]]+Table5[[#This Row],[Importation_N_Inversion]])/2</f>
        <v/>
      </c>
      <c r="E11" s="1">
        <f>Table11[[#This Row],[Precipitation_N]]</f>
        <v/>
      </c>
      <c r="F11" s="1">
        <f>(Table8[[#This Row],[PIB_N]]+Table9[[#This Row],[Inflation_N_Inversion]])/2</f>
        <v/>
      </c>
    </row>
    <row r="12">
      <c r="A12" t="inlineStr">
        <is>
          <t>2021/2022</t>
        </is>
      </c>
      <c r="B12" t="inlineStr">
        <is>
          <t>Portugal</t>
        </is>
      </c>
      <c r="C12" s="1">
        <f>(Table3[[#This Row],[Production_N]]+Table6[[#This Row],[OO_N]]+Table4[[#This Row],[Exportation_N]])/3</f>
        <v/>
      </c>
      <c r="D12" s="1">
        <f>(Table2[[#This Row],[Consumption_N]]+Table5[[#This Row],[Importation_N_Inversion]])/2</f>
        <v/>
      </c>
      <c r="E12" s="1">
        <f>Table11[[#This Row],[Precipitation_N]]</f>
        <v/>
      </c>
      <c r="F12" s="1">
        <f>(Table8[[#This Row],[PIB_N]]+Table9[[#This Row],[Inflation_N_Inversion]])/2</f>
        <v/>
      </c>
    </row>
    <row r="13">
      <c r="A13" t="inlineStr">
        <is>
          <t>2022/2023</t>
        </is>
      </c>
      <c r="B13" t="inlineStr">
        <is>
          <t>Portugal</t>
        </is>
      </c>
      <c r="C13" s="1">
        <f>(Table3[[#This Row],[Production_N]]+Table6[[#This Row],[OO_N]]+Table4[[#This Row],[Exportation_N]])/3</f>
        <v/>
      </c>
      <c r="D13" s="1">
        <f>(Table2[[#This Row],[Consumption_N]]+Table5[[#This Row],[Importation_N_Inversion]])/2</f>
        <v/>
      </c>
      <c r="E13" s="1">
        <f>Table11[[#This Row],[Precipitation_N]]</f>
        <v/>
      </c>
      <c r="F13" s="1">
        <f>(Table8[[#This Row],[PIB_N]]+Table9[[#This Row],[Inflation_N_Inversion]])/2</f>
        <v/>
      </c>
    </row>
    <row r="14">
      <c r="A14" t="inlineStr">
        <is>
          <t>2023/2024</t>
        </is>
      </c>
      <c r="B14" t="inlineStr">
        <is>
          <t>Portugal</t>
        </is>
      </c>
      <c r="C14" s="1">
        <f>(Table3[[#This Row],[Production_N]]+Table6[[#This Row],[OO_N]]+Table4[[#This Row],[Exportation_N]])/3</f>
        <v/>
      </c>
      <c r="D14" s="1">
        <f>(Table2[[#This Row],[Consumption_N]]+Table5[[#This Row],[Importation_N_Inversion]])/2</f>
        <v/>
      </c>
      <c r="E14" s="1">
        <f>Table11[[#This Row],[Precipitation_N]]</f>
        <v/>
      </c>
      <c r="F14" s="1">
        <f>(Table8[[#This Row],[PIB_N]]+Table9[[#This Row],[Inflation_N_Inversion]])/2</f>
        <v/>
      </c>
    </row>
    <row r="15">
      <c r="A15" t="inlineStr">
        <is>
          <t>2024/2025</t>
        </is>
      </c>
      <c r="B15" t="inlineStr">
        <is>
          <t>Portugal</t>
        </is>
      </c>
      <c r="C15" s="1">
        <f>(Table3[[#This Row],[Production_N]]+Table6[[#This Row],[OO_N]]+Table4[[#This Row],[Exportation_N]])/3</f>
        <v/>
      </c>
      <c r="D15" s="1">
        <f>(Table2[[#This Row],[Consumption_N]]+Table5[[#This Row],[Importation_N_Inversion]])/2</f>
        <v/>
      </c>
      <c r="E15" s="1">
        <f>Table11[[#This Row],[Precipitation_N]]</f>
        <v/>
      </c>
      <c r="F15" s="1">
        <f>(Table8[[#This Row],[PIB_N]]+Table9[[#This Row],[Inflation_N_Inversion]])/2</f>
        <v/>
      </c>
    </row>
    <row r="16">
      <c r="A16" t="inlineStr">
        <is>
          <t>2018/2019</t>
        </is>
      </c>
      <c r="B16" t="inlineStr">
        <is>
          <t>Greece</t>
        </is>
      </c>
      <c r="C16" s="1">
        <f>(Table3[[#This Row],[Production_N]]+Table6[[#This Row],[OO_N]]+Table4[[#This Row],[Exportation_N]])/3</f>
        <v/>
      </c>
      <c r="D16" s="1">
        <f>(Table2[[#This Row],[Consumption_N]]+Table5[[#This Row],[Importation_N_Inversion]])/2</f>
        <v/>
      </c>
      <c r="E16" s="1">
        <f>Table11[[#This Row],[Precipitation_N]]</f>
        <v/>
      </c>
      <c r="F16" s="1">
        <f>(Table8[[#This Row],[PIB_N]]+Table9[[#This Row],[Inflation_N_Inversion]])/2</f>
        <v/>
      </c>
    </row>
    <row r="17">
      <c r="A17" t="inlineStr">
        <is>
          <t>2019/2020</t>
        </is>
      </c>
      <c r="B17" t="inlineStr">
        <is>
          <t>Greece</t>
        </is>
      </c>
      <c r="C17" s="1">
        <f>(Table3[[#This Row],[Production_N]]+Table6[[#This Row],[OO_N]]+Table4[[#This Row],[Exportation_N]])/3</f>
        <v/>
      </c>
      <c r="D17" s="1">
        <f>(Table2[[#This Row],[Consumption_N]]+Table5[[#This Row],[Importation_N_Inversion]])/2</f>
        <v/>
      </c>
      <c r="E17" s="1">
        <f>Table11[[#This Row],[Precipitation_N]]</f>
        <v/>
      </c>
      <c r="F17" s="1">
        <f>(Table8[[#This Row],[PIB_N]]+Table9[[#This Row],[Inflation_N_Inversion]])/2</f>
        <v/>
      </c>
    </row>
    <row r="18">
      <c r="A18" t="inlineStr">
        <is>
          <t>2020/2021</t>
        </is>
      </c>
      <c r="B18" t="inlineStr">
        <is>
          <t>Greece</t>
        </is>
      </c>
      <c r="C18" s="1">
        <f>(Table3[[#This Row],[Production_N]]+Table6[[#This Row],[OO_N]]+Table4[[#This Row],[Exportation_N]])/3</f>
        <v/>
      </c>
      <c r="D18" s="1">
        <f>(Table2[[#This Row],[Consumption_N]]+Table5[[#This Row],[Importation_N_Inversion]])/2</f>
        <v/>
      </c>
      <c r="E18" s="1">
        <f>Table11[[#This Row],[Precipitation_N]]</f>
        <v/>
      </c>
      <c r="F18" s="1">
        <f>(Table8[[#This Row],[PIB_N]]+Table9[[#This Row],[Inflation_N_Inversion]])/2</f>
        <v/>
      </c>
    </row>
    <row r="19">
      <c r="A19" t="inlineStr">
        <is>
          <t>2021/2022</t>
        </is>
      </c>
      <c r="B19" t="inlineStr">
        <is>
          <t>Greece</t>
        </is>
      </c>
      <c r="C19" s="1">
        <f>(Table3[[#This Row],[Production_N]]+Table6[[#This Row],[OO_N]]+Table4[[#This Row],[Exportation_N]])/3</f>
        <v/>
      </c>
      <c r="D19" s="1">
        <f>(Table2[[#This Row],[Consumption_N]]+Table5[[#This Row],[Importation_N_Inversion]])/2</f>
        <v/>
      </c>
      <c r="E19" s="1">
        <f>Table11[[#This Row],[Precipitation_N]]</f>
        <v/>
      </c>
      <c r="F19" s="1">
        <f>(Table8[[#This Row],[PIB_N]]+Table9[[#This Row],[Inflation_N_Inversion]])/2</f>
        <v/>
      </c>
    </row>
    <row r="20">
      <c r="A20" t="inlineStr">
        <is>
          <t>2022/2023</t>
        </is>
      </c>
      <c r="B20" t="inlineStr">
        <is>
          <t>Greece</t>
        </is>
      </c>
      <c r="C20" s="1">
        <f>(Table3[[#This Row],[Production_N]]+Table6[[#This Row],[OO_N]]+Table4[[#This Row],[Exportation_N]])/3</f>
        <v/>
      </c>
      <c r="D20" s="1">
        <f>(Table2[[#This Row],[Consumption_N]]+Table5[[#This Row],[Importation_N_Inversion]])/2</f>
        <v/>
      </c>
      <c r="E20" s="1">
        <f>Table11[[#This Row],[Precipitation_N]]</f>
        <v/>
      </c>
      <c r="F20" s="1">
        <f>(Table8[[#This Row],[PIB_N]]+Table9[[#This Row],[Inflation_N_Inversion]])/2</f>
        <v/>
      </c>
    </row>
    <row r="21">
      <c r="A21" t="inlineStr">
        <is>
          <t>2023/2024</t>
        </is>
      </c>
      <c r="B21" t="inlineStr">
        <is>
          <t>Greece</t>
        </is>
      </c>
      <c r="C21" s="1">
        <f>(Table3[[#This Row],[Production_N]]+Table6[[#This Row],[OO_N]]+Table4[[#This Row],[Exportation_N]])/3</f>
        <v/>
      </c>
      <c r="D21" s="1">
        <f>(Table2[[#This Row],[Consumption_N]]+Table5[[#This Row],[Importation_N_Inversion]])/2</f>
        <v/>
      </c>
      <c r="E21" s="1">
        <f>Table11[[#This Row],[Precipitation_N]]</f>
        <v/>
      </c>
      <c r="F21" s="1">
        <f>(Table8[[#This Row],[PIB_N]]+Table9[[#This Row],[Inflation_N_Inversion]])/2</f>
        <v/>
      </c>
    </row>
    <row r="22">
      <c r="A22" t="inlineStr">
        <is>
          <t>2024/2025</t>
        </is>
      </c>
      <c r="B22" t="inlineStr">
        <is>
          <t>Greece</t>
        </is>
      </c>
      <c r="C22" s="1">
        <f>(Table3[[#This Row],[Production_N]]+Table6[[#This Row],[OO_N]]+Table4[[#This Row],[Exportation_N]])/3</f>
        <v/>
      </c>
      <c r="D22" s="1">
        <f>(Table2[[#This Row],[Consumption_N]]+Table5[[#This Row],[Importation_N_Inversion]])/2</f>
        <v/>
      </c>
      <c r="E22" s="1">
        <f>Table11[[#This Row],[Precipitation_N]]</f>
        <v/>
      </c>
      <c r="F22" s="1">
        <f>(Table8[[#This Row],[PIB_N]]+Table9[[#This Row],[Inflation_N_Inversion]])/2</f>
        <v/>
      </c>
    </row>
    <row r="23">
      <c r="A23" t="inlineStr">
        <is>
          <t>2018/2019</t>
        </is>
      </c>
      <c r="B23" t="inlineStr">
        <is>
          <t>Italy</t>
        </is>
      </c>
      <c r="C23" s="1">
        <f>(Table3[[#This Row],[Production_N]]+Table6[[#This Row],[OO_N]]+Table4[[#This Row],[Exportation_N]])/3</f>
        <v/>
      </c>
      <c r="D23" s="1">
        <f>(Table2[[#This Row],[Consumption_N]]+Table5[[#This Row],[Importation_N_Inversion]])/2</f>
        <v/>
      </c>
      <c r="E23" s="1">
        <f>Table11[[#This Row],[Precipitation_N]]</f>
        <v/>
      </c>
      <c r="F23" s="1">
        <f>(Table8[[#This Row],[PIB_N]]+Table9[[#This Row],[Inflation_N_Inversion]])/2</f>
        <v/>
      </c>
    </row>
    <row r="24">
      <c r="A24" t="inlineStr">
        <is>
          <t>2019/2020</t>
        </is>
      </c>
      <c r="B24" t="inlineStr">
        <is>
          <t>Italy</t>
        </is>
      </c>
      <c r="C24" s="1">
        <f>(Table3[[#This Row],[Production_N]]+Table6[[#This Row],[OO_N]]+Table4[[#This Row],[Exportation_N]])/3</f>
        <v/>
      </c>
      <c r="D24" s="1">
        <f>(Table2[[#This Row],[Consumption_N]]+Table5[[#This Row],[Importation_N_Inversion]])/2</f>
        <v/>
      </c>
      <c r="E24" s="1">
        <f>Table11[[#This Row],[Precipitation_N]]</f>
        <v/>
      </c>
      <c r="F24" s="1">
        <f>(Table8[[#This Row],[PIB_N]]+Table9[[#This Row],[Inflation_N_Inversion]])/2</f>
        <v/>
      </c>
    </row>
    <row r="25">
      <c r="A25" t="inlineStr">
        <is>
          <t>2020/2021</t>
        </is>
      </c>
      <c r="B25" t="inlineStr">
        <is>
          <t>Italy</t>
        </is>
      </c>
      <c r="C25" s="1">
        <f>(Table3[[#This Row],[Production_N]]+Table6[[#This Row],[OO_N]]+Table4[[#This Row],[Exportation_N]])/3</f>
        <v/>
      </c>
      <c r="D25" s="1">
        <f>(Table2[[#This Row],[Consumption_N]]+Table5[[#This Row],[Importation_N_Inversion]])/2</f>
        <v/>
      </c>
      <c r="E25" s="1">
        <f>Table11[[#This Row],[Precipitation_N]]</f>
        <v/>
      </c>
      <c r="F25" s="1">
        <f>(Table8[[#This Row],[PIB_N]]+Table9[[#This Row],[Inflation_N_Inversion]])/2</f>
        <v/>
      </c>
    </row>
    <row r="26">
      <c r="A26" t="inlineStr">
        <is>
          <t>2021/2022</t>
        </is>
      </c>
      <c r="B26" t="inlineStr">
        <is>
          <t>Italy</t>
        </is>
      </c>
      <c r="C26" s="1">
        <f>(Table3[[#This Row],[Production_N]]+Table6[[#This Row],[OO_N]]+Table4[[#This Row],[Exportation_N]])/3</f>
        <v/>
      </c>
      <c r="D26" s="1">
        <f>(Table2[[#This Row],[Consumption_N]]+Table5[[#This Row],[Importation_N_Inversion]])/2</f>
        <v/>
      </c>
      <c r="E26" s="1">
        <f>Table11[[#This Row],[Precipitation_N]]</f>
        <v/>
      </c>
      <c r="F26" s="1">
        <f>(Table8[[#This Row],[PIB_N]]+Table9[[#This Row],[Inflation_N_Inversion]])/2</f>
        <v/>
      </c>
    </row>
    <row r="27">
      <c r="A27" t="inlineStr">
        <is>
          <t>2022/2023</t>
        </is>
      </c>
      <c r="B27" t="inlineStr">
        <is>
          <t>Italy</t>
        </is>
      </c>
      <c r="C27" s="1">
        <f>(Table3[[#This Row],[Production_N]]+Table6[[#This Row],[OO_N]]+Table4[[#This Row],[Exportation_N]])/3</f>
        <v/>
      </c>
      <c r="D27" s="1">
        <f>(Table2[[#This Row],[Consumption_N]]+Table5[[#This Row],[Importation_N_Inversion]])/2</f>
        <v/>
      </c>
      <c r="E27" s="1">
        <f>Table11[[#This Row],[Precipitation_N]]</f>
        <v/>
      </c>
      <c r="F27" s="1">
        <f>(Table8[[#This Row],[PIB_N]]+Table9[[#This Row],[Inflation_N_Inversion]])/2</f>
        <v/>
      </c>
    </row>
    <row r="28">
      <c r="A28" t="inlineStr">
        <is>
          <t>2023/2024</t>
        </is>
      </c>
      <c r="B28" t="inlineStr">
        <is>
          <t>Italy</t>
        </is>
      </c>
      <c r="C28" s="1">
        <f>(Table3[[#This Row],[Production_N]]+Table6[[#This Row],[OO_N]]+Table4[[#This Row],[Exportation_N]])/3</f>
        <v/>
      </c>
      <c r="D28" s="1">
        <f>(Table2[[#This Row],[Consumption_N]]+Table5[[#This Row],[Importation_N_Inversion]])/2</f>
        <v/>
      </c>
      <c r="E28" s="1">
        <f>Table11[[#This Row],[Precipitation_N]]</f>
        <v/>
      </c>
      <c r="F28" s="1">
        <f>(Table8[[#This Row],[PIB_N]]+Table9[[#This Row],[Inflation_N_Inversion]])/2</f>
        <v/>
      </c>
    </row>
    <row r="29">
      <c r="A29" t="inlineStr">
        <is>
          <t>2024/2025</t>
        </is>
      </c>
      <c r="B29" t="inlineStr">
        <is>
          <t>Italy</t>
        </is>
      </c>
      <c r="C29" s="1">
        <f>(Table3[[#This Row],[Production_N]]+Table6[[#This Row],[OO_N]]+Table4[[#This Row],[Exportation_N]])/3</f>
        <v/>
      </c>
      <c r="D29" s="1">
        <f>(Table2[[#This Row],[Consumption_N]]+Table5[[#This Row],[Importation_N_Inversion]])/2</f>
        <v/>
      </c>
      <c r="E29" s="1">
        <f>Table11[[#This Row],[Precipitation_N]]</f>
        <v/>
      </c>
      <c r="F29" s="1">
        <f>(Table8[[#This Row],[PIB_N]]+Table9[[#This Row],[Inflation_N_Inversion]])/2</f>
        <v/>
      </c>
    </row>
  </sheetData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5"/>
  <sheetViews>
    <sheetView workbookViewId="0">
      <selection activeCell="L32" sqref="L32:L35"/>
    </sheetView>
  </sheetViews>
  <sheetFormatPr baseColWidth="8" defaultRowHeight="14.4"/>
  <cols>
    <col width="16.21875" customWidth="1" min="1" max="1"/>
    <col width="10.44140625" customWidth="1" min="2" max="2"/>
    <col width="10" bestFit="1" customWidth="1" min="3" max="3"/>
    <col width="18" customWidth="1" min="4" max="4"/>
    <col width="11.5546875" bestFit="1" customWidth="1" min="6" max="6"/>
    <col width="10" bestFit="1" customWidth="1" min="7" max="7"/>
    <col width="20.109375" customWidth="1" min="8" max="8"/>
    <col width="9" bestFit="1" customWidth="1" min="9" max="9"/>
    <col width="10" bestFit="1" customWidth="1" min="11" max="11"/>
    <col width="9" bestFit="1" customWidth="1" min="12" max="12"/>
    <col width="10" bestFit="1" customWidth="1" min="13" max="13"/>
    <col width="9" bestFit="1" customWidth="1" min="14" max="14"/>
    <col width="10" bestFit="1" customWidth="1" min="16" max="16"/>
    <col width="9" bestFit="1" customWidth="1" min="17" max="17"/>
    <col width="10" bestFit="1" customWidth="1" min="18" max="18"/>
    <col width="9" bestFit="1" customWidth="1" min="19" max="20"/>
    <col width="10" bestFit="1" customWidth="1" min="22" max="22"/>
    <col width="9" bestFit="1" customWidth="1" min="23" max="23"/>
    <col width="10" bestFit="1" customWidth="1" min="24" max="24"/>
    <col width="9" bestFit="1" customWidth="1" min="25" max="25"/>
    <col width="9" bestFit="1" customWidth="1" min="27" max="30"/>
    <col width="9" bestFit="1" customWidth="1" min="32" max="36"/>
    <col width="9" bestFit="1" customWidth="1" min="38" max="41"/>
    <col width="12.109375" bestFit="1" customWidth="1" min="42" max="42"/>
    <col width="17" bestFit="1" customWidth="1" min="44" max="44"/>
    <col width="9" bestFit="1" customWidth="1" min="45" max="46"/>
    <col width="14.21875" bestFit="1" customWidth="1" min="47" max="47"/>
    <col width="14.109375" customWidth="1" min="48" max="48"/>
    <col width="12" bestFit="1" customWidth="1" min="49" max="51"/>
    <col width="13.77734375" bestFit="1" customWidth="1" min="52" max="52"/>
    <col width="12" bestFit="1" customWidth="1" min="53" max="53"/>
  </cols>
  <sheetData>
    <row r="1">
      <c r="A1" s="47" t="inlineStr">
        <is>
          <t>Consumption</t>
        </is>
      </c>
      <c r="B1" s="47" t="inlineStr">
        <is>
          <t>Min</t>
        </is>
      </c>
      <c r="C1" s="47" t="inlineStr">
        <is>
          <t>Max</t>
        </is>
      </c>
      <c r="D1" s="47" t="inlineStr">
        <is>
          <t>Consumption_N</t>
        </is>
      </c>
      <c r="E1" s="47" t="inlineStr">
        <is>
          <t>Unnamed: 4</t>
        </is>
      </c>
      <c r="F1" s="47" t="inlineStr">
        <is>
          <t>Production</t>
        </is>
      </c>
      <c r="G1" s="47" t="inlineStr">
        <is>
          <t>Min.1</t>
        </is>
      </c>
      <c r="H1" s="47" t="inlineStr">
        <is>
          <t>Max.1</t>
        </is>
      </c>
      <c r="I1" s="47" t="inlineStr">
        <is>
          <t>Production_N</t>
        </is>
      </c>
      <c r="J1" s="47" t="inlineStr">
        <is>
          <t>Unnamed: 9</t>
        </is>
      </c>
      <c r="K1" s="47" t="inlineStr">
        <is>
          <t>Exportation</t>
        </is>
      </c>
      <c r="L1" s="47" t="inlineStr">
        <is>
          <t>Min.2</t>
        </is>
      </c>
      <c r="M1" s="47" t="inlineStr">
        <is>
          <t>Max.2</t>
        </is>
      </c>
      <c r="N1" s="47" t="inlineStr">
        <is>
          <t>Exportation_N</t>
        </is>
      </c>
      <c r="O1" s="47" t="inlineStr">
        <is>
          <t>Unnamed: 14</t>
        </is>
      </c>
      <c r="P1" s="47" t="inlineStr">
        <is>
          <t>Importation</t>
        </is>
      </c>
      <c r="Q1" s="47" t="inlineStr">
        <is>
          <t>Min.3</t>
        </is>
      </c>
      <c r="R1" s="47" t="inlineStr">
        <is>
          <t>Max.3</t>
        </is>
      </c>
      <c r="S1" s="47" t="inlineStr">
        <is>
          <t>Importation_N</t>
        </is>
      </c>
      <c r="T1" s="47" t="inlineStr">
        <is>
          <t>Importation_N_Inversion</t>
        </is>
      </c>
      <c r="U1" s="47" t="inlineStr">
        <is>
          <t>Unnamed: 20</t>
        </is>
      </c>
      <c r="V1" s="47" t="inlineStr">
        <is>
          <t>Production_Olives</t>
        </is>
      </c>
      <c r="W1" s="47" t="inlineStr">
        <is>
          <t>Min.4</t>
        </is>
      </c>
      <c r="X1" s="47" t="inlineStr">
        <is>
          <t>Max.4</t>
        </is>
      </c>
      <c r="Y1" s="47" t="inlineStr">
        <is>
          <t>OO_N</t>
        </is>
      </c>
      <c r="Z1" s="47" t="inlineStr">
        <is>
          <t>Unnamed: 25</t>
        </is>
      </c>
      <c r="AA1" s="47" t="inlineStr">
        <is>
          <t>PIB</t>
        </is>
      </c>
      <c r="AB1" s="47" t="inlineStr">
        <is>
          <t>Min.5</t>
        </is>
      </c>
      <c r="AC1" s="47" t="inlineStr">
        <is>
          <t>Max.5</t>
        </is>
      </c>
      <c r="AD1" s="47" t="inlineStr">
        <is>
          <t>PIB_N</t>
        </is>
      </c>
      <c r="AE1" s="47" t="inlineStr">
        <is>
          <t>Unnamed: 30</t>
        </is>
      </c>
      <c r="AF1" s="47" t="inlineStr">
        <is>
          <t>Inflation</t>
        </is>
      </c>
      <c r="AG1" s="47" t="inlineStr">
        <is>
          <t>Min.6</t>
        </is>
      </c>
      <c r="AH1" s="47" t="inlineStr">
        <is>
          <t>Max.6</t>
        </is>
      </c>
      <c r="AI1" s="47" t="inlineStr">
        <is>
          <t>Inflation_N</t>
        </is>
      </c>
      <c r="AJ1" s="47" t="inlineStr">
        <is>
          <t>Inflation_N_Inversion</t>
        </is>
      </c>
      <c r="AK1" s="47" t="inlineStr">
        <is>
          <t>Unnamed: 36</t>
        </is>
      </c>
      <c r="AL1" s="47" t="inlineStr">
        <is>
          <t>PriceAVG</t>
        </is>
      </c>
      <c r="AM1" s="47" t="inlineStr">
        <is>
          <t>Min.7</t>
        </is>
      </c>
      <c r="AN1" s="47" t="inlineStr">
        <is>
          <t>Max.7</t>
        </is>
      </c>
      <c r="AO1" s="47" t="inlineStr">
        <is>
          <t>Inflation_N.1</t>
        </is>
      </c>
      <c r="AP1" s="47" t="inlineStr">
        <is>
          <t>Inversion</t>
        </is>
      </c>
      <c r="AQ1" s="47" t="inlineStr">
        <is>
          <t>Unnamed: 42</t>
        </is>
      </c>
      <c r="AR1" s="47" t="inlineStr">
        <is>
          <t>Precipitation (mm)</t>
        </is>
      </c>
      <c r="AS1" s="47" t="inlineStr">
        <is>
          <t>Min.8</t>
        </is>
      </c>
      <c r="AT1" s="47" t="inlineStr">
        <is>
          <t>Max.8</t>
        </is>
      </c>
      <c r="AU1" s="47" t="inlineStr">
        <is>
          <t>Precipitation_N</t>
        </is>
      </c>
      <c r="AV1" s="46" t="n"/>
      <c r="AW1" s="46" t="inlineStr">
        <is>
          <t>Offer_PCA</t>
        </is>
      </c>
      <c r="AX1" s="46" t="inlineStr">
        <is>
          <t>Market_PCA</t>
        </is>
      </c>
      <c r="AY1" s="46" t="inlineStr">
        <is>
          <t>Climate_PCA</t>
        </is>
      </c>
      <c r="AZ1" s="46" t="inlineStr">
        <is>
          <t>Economic_PCA</t>
        </is>
      </c>
      <c r="BA1" s="46" t="inlineStr">
        <is>
          <t>ISMA_PCA</t>
        </is>
      </c>
    </row>
    <row r="2">
      <c r="A2" s="1" t="n">
        <v>525700</v>
      </c>
      <c r="B2" s="1" t="n">
        <v>12000</v>
      </c>
      <c r="C2" s="1" t="n">
        <v>579900</v>
      </c>
      <c r="D2" s="1" t="n">
        <v>0.9045606620883958</v>
      </c>
      <c r="E2" s="1" t="n"/>
      <c r="F2" s="1" t="n">
        <v>1789900</v>
      </c>
      <c r="G2" s="1" t="n">
        <v>100000</v>
      </c>
      <c r="H2" s="1" t="n">
        <v>1789900</v>
      </c>
      <c r="I2" s="1" t="n">
        <v>1</v>
      </c>
      <c r="J2" s="1" t="n"/>
      <c r="K2" s="1" t="n">
        <v>355800</v>
      </c>
      <c r="L2" s="1" t="n">
        <v>19600</v>
      </c>
      <c r="M2" s="1" t="n">
        <v>468100</v>
      </c>
      <c r="N2" s="1" t="n">
        <v>0.7496098104793757</v>
      </c>
      <c r="O2" s="1" t="n"/>
      <c r="P2" s="1" t="n">
        <v>84000</v>
      </c>
      <c r="Q2" s="1" t="n">
        <v>0</v>
      </c>
      <c r="R2" s="1" t="n">
        <v>151900</v>
      </c>
      <c r="S2" s="1" t="n">
        <v>0.5529953917050692</v>
      </c>
      <c r="T2" s="1" t="n">
        <v>0.4470046082949308</v>
      </c>
      <c r="U2" s="1" t="n"/>
      <c r="V2" s="1" t="n">
        <v>591100</v>
      </c>
      <c r="W2" s="1" t="n">
        <v>15600</v>
      </c>
      <c r="X2" s="1" t="n">
        <v>659300</v>
      </c>
      <c r="Y2" s="1" t="n">
        <v>0.8940500233027808</v>
      </c>
      <c r="Z2" s="1" t="n"/>
      <c r="AA2" s="1" t="n">
        <v>0.024</v>
      </c>
      <c r="AB2" s="1" t="n">
        <v>-0.092</v>
      </c>
      <c r="AC2" s="1" t="n">
        <v>0.089</v>
      </c>
      <c r="AD2" s="1" t="n">
        <v>0.6408839779005525</v>
      </c>
      <c r="AE2" s="1" t="n"/>
      <c r="AF2" s="1" t="n">
        <v>0.017</v>
      </c>
      <c r="AG2" s="1" t="n">
        <v>-0.012</v>
      </c>
      <c r="AH2" s="1" t="n">
        <v>0.096</v>
      </c>
      <c r="AI2" s="1" t="n">
        <v>0.2685185185185185</v>
      </c>
      <c r="AJ2" s="1" t="n">
        <v>0.7314814814814814</v>
      </c>
      <c r="AK2" s="1" t="n"/>
      <c r="AL2" s="1" t="n">
        <v>245.3007719886635</v>
      </c>
      <c r="AM2" s="1" t="n">
        <v>164.1204356189602</v>
      </c>
      <c r="AN2" s="1" t="n">
        <v>840.9842519685039</v>
      </c>
      <c r="AO2" s="1" t="n">
        <v>0.1199359965901625</v>
      </c>
      <c r="AP2" s="1" t="n">
        <v>0.8800640034098375</v>
      </c>
      <c r="AQ2" s="1" t="n"/>
      <c r="AR2" s="1" t="n">
        <v>828.26</v>
      </c>
      <c r="AS2" s="1" t="n">
        <v>582.9</v>
      </c>
      <c r="AT2" s="1" t="n">
        <v>1212.48</v>
      </c>
      <c r="AU2" s="1" t="n">
        <v>0.3897201308809047</v>
      </c>
      <c r="AW2" s="1" t="n">
        <v>0.8825069140467751</v>
      </c>
      <c r="AX2" s="1" t="n">
        <v>0.6757826351916634</v>
      </c>
      <c r="AY2" s="1" t="n">
        <v>0.3897201308809047</v>
      </c>
      <c r="AZ2" s="1" t="n">
        <v>0.686182729691017</v>
      </c>
      <c r="BA2" s="1" t="n">
        <v>0.7012598458715564</v>
      </c>
    </row>
    <row r="3">
      <c r="A3" s="1" t="n">
        <v>518600</v>
      </c>
      <c r="B3" s="1" t="n">
        <v>12000</v>
      </c>
      <c r="C3" s="1" t="n">
        <v>579900</v>
      </c>
      <c r="D3" s="1" t="n">
        <v>0.8920584609966543</v>
      </c>
      <c r="E3" s="1" t="n"/>
      <c r="F3" s="1" t="n">
        <v>1125300</v>
      </c>
      <c r="G3" s="1" t="n">
        <v>100000</v>
      </c>
      <c r="H3" s="1" t="n">
        <v>1789900</v>
      </c>
      <c r="I3" s="1" t="n">
        <v>0.6067222912598379</v>
      </c>
      <c r="J3" s="1" t="n"/>
      <c r="K3" s="1" t="n">
        <v>420700</v>
      </c>
      <c r="L3" s="1" t="n">
        <v>19600</v>
      </c>
      <c r="M3" s="1" t="n">
        <v>468100</v>
      </c>
      <c r="N3" s="1" t="n">
        <v>0.894314381270903</v>
      </c>
      <c r="O3" s="1" t="n"/>
      <c r="P3" s="1" t="n">
        <v>151900</v>
      </c>
      <c r="Q3" s="1" t="n">
        <v>0</v>
      </c>
      <c r="R3" s="1" t="n">
        <v>151900</v>
      </c>
      <c r="S3" s="1" t="n">
        <v>1</v>
      </c>
      <c r="T3" s="1" t="n">
        <v>0</v>
      </c>
      <c r="U3" s="1" t="n"/>
      <c r="V3" s="1" t="n">
        <v>458200</v>
      </c>
      <c r="W3" s="1" t="n">
        <v>15600</v>
      </c>
      <c r="X3" s="1" t="n">
        <v>659300</v>
      </c>
      <c r="Y3" s="1" t="n">
        <v>0.6875873854279944</v>
      </c>
      <c r="Z3" s="1" t="n"/>
      <c r="AA3" s="1" t="n">
        <v>0.02</v>
      </c>
      <c r="AB3" s="1" t="n">
        <v>-0.092</v>
      </c>
      <c r="AC3" s="1" t="n">
        <v>0.089</v>
      </c>
      <c r="AD3" s="1" t="n">
        <v>0.6187845303867404</v>
      </c>
      <c r="AE3" s="1" t="n"/>
      <c r="AF3" s="1" t="n">
        <v>0.007</v>
      </c>
      <c r="AG3" s="1" t="n">
        <v>-0.012</v>
      </c>
      <c r="AH3" s="1" t="n">
        <v>0.096</v>
      </c>
      <c r="AI3" s="1" t="n">
        <v>0.1759259259259259</v>
      </c>
      <c r="AJ3" s="1" t="n">
        <v>0.8240740740740741</v>
      </c>
      <c r="AK3" s="1" t="n"/>
      <c r="AL3" s="1" t="n">
        <v>184.9668501610679</v>
      </c>
      <c r="AM3" s="1" t="n">
        <v>164.1204356189602</v>
      </c>
      <c r="AN3" s="1" t="n">
        <v>840.9842519685039</v>
      </c>
      <c r="AO3" s="1" t="n">
        <v>0.03079853589239914</v>
      </c>
      <c r="AP3" s="1" t="n">
        <v>0.9692014641076009</v>
      </c>
      <c r="AQ3" s="1" t="n"/>
      <c r="AR3" s="1" t="n">
        <v>620.4400000000001</v>
      </c>
      <c r="AS3" s="1" t="n">
        <v>582.9</v>
      </c>
      <c r="AT3" s="1" t="n">
        <v>1212.48</v>
      </c>
      <c r="AU3" s="1" t="n">
        <v>0.059627052955939</v>
      </c>
      <c r="AW3" s="1" t="n">
        <v>0.7281868769758035</v>
      </c>
      <c r="AX3" s="1" t="n">
        <v>0.4460292304983273</v>
      </c>
      <c r="AY3" s="1" t="n">
        <v>0.059627052955939</v>
      </c>
      <c r="AZ3" s="1" t="n">
        <v>0.7214293022304072</v>
      </c>
      <c r="BA3" s="1" t="n">
        <v>0.4816118535808401</v>
      </c>
    </row>
    <row r="4">
      <c r="A4" s="1" t="n">
        <v>541100</v>
      </c>
      <c r="B4" s="1" t="n">
        <v>12000</v>
      </c>
      <c r="C4" s="1" t="n">
        <v>579900</v>
      </c>
      <c r="D4" s="1" t="n">
        <v>0.9316781123437224</v>
      </c>
      <c r="E4" s="1" t="n"/>
      <c r="F4" s="1" t="n">
        <v>1389000</v>
      </c>
      <c r="G4" s="1" t="n">
        <v>100000</v>
      </c>
      <c r="H4" s="1" t="n">
        <v>1789900</v>
      </c>
      <c r="I4" s="1" t="n">
        <v>0.7627670276347713</v>
      </c>
      <c r="J4" s="1" t="n"/>
      <c r="K4" s="1" t="n">
        <v>464600</v>
      </c>
      <c r="L4" s="1" t="n">
        <v>19600</v>
      </c>
      <c r="M4" s="1" t="n">
        <v>468100</v>
      </c>
      <c r="N4" s="1" t="n">
        <v>0.992196209587514</v>
      </c>
      <c r="O4" s="1" t="n"/>
      <c r="P4" s="1" t="n">
        <v>100700</v>
      </c>
      <c r="Q4" s="1" t="n">
        <v>0</v>
      </c>
      <c r="R4" s="1" t="n">
        <v>151900</v>
      </c>
      <c r="S4" s="1" t="n">
        <v>0.662936142198815</v>
      </c>
      <c r="T4" s="1" t="n">
        <v>0.337063857801185</v>
      </c>
      <c r="U4" s="1" t="n"/>
      <c r="V4" s="1" t="n">
        <v>546300</v>
      </c>
      <c r="W4" s="1" t="n">
        <v>15600</v>
      </c>
      <c r="X4" s="1" t="n">
        <v>659300</v>
      </c>
      <c r="Y4" s="1" t="n">
        <v>0.824452384651235</v>
      </c>
      <c r="Z4" s="1" t="n"/>
      <c r="AA4" s="1" t="n">
        <v>-0.03</v>
      </c>
      <c r="AB4" s="1" t="n">
        <v>-0.092</v>
      </c>
      <c r="AC4" s="1" t="n">
        <v>0.089</v>
      </c>
      <c r="AD4" s="1" t="n">
        <v>0.3425414364640884</v>
      </c>
      <c r="AE4" s="1" t="n"/>
      <c r="AF4" s="1" t="n">
        <v>-0.003</v>
      </c>
      <c r="AG4" s="1" t="n">
        <v>-0.012</v>
      </c>
      <c r="AH4" s="1" t="n">
        <v>0.096</v>
      </c>
      <c r="AI4" s="1" t="n">
        <v>0.08333333333333334</v>
      </c>
      <c r="AJ4" s="1" t="n">
        <v>0.9166666666666666</v>
      </c>
      <c r="AK4" s="1" t="n"/>
      <c r="AL4" s="1" t="n">
        <v>164.1204356189602</v>
      </c>
      <c r="AM4" s="1" t="n">
        <v>164.1204356189602</v>
      </c>
      <c r="AN4" s="1" t="n">
        <v>840.9842519685039</v>
      </c>
      <c r="AO4" s="1" t="n">
        <v>0</v>
      </c>
      <c r="AP4" s="1" t="n">
        <v>1</v>
      </c>
      <c r="AQ4" s="1" t="n"/>
      <c r="AR4" s="1" t="n">
        <v>675.41</v>
      </c>
      <c r="AS4" s="1" t="n">
        <v>582.9</v>
      </c>
      <c r="AT4" s="1" t="n">
        <v>1212.48</v>
      </c>
      <c r="AU4" s="1" t="n">
        <v>0.1469392293274882</v>
      </c>
      <c r="AW4" s="1" t="n">
        <v>0.8587332235140435</v>
      </c>
      <c r="AX4" s="1" t="n">
        <v>0.6343709850724538</v>
      </c>
      <c r="AY4" s="1" t="n">
        <v>0.1469392293274882</v>
      </c>
      <c r="AZ4" s="1" t="n">
        <v>0.6296040515653776</v>
      </c>
      <c r="BA4" s="1" t="n">
        <v>0.6266295293000965</v>
      </c>
    </row>
    <row r="5">
      <c r="A5" s="1" t="n">
        <v>579900</v>
      </c>
      <c r="B5" s="1" t="n">
        <v>12000</v>
      </c>
      <c r="C5" s="1" t="n">
        <v>579900</v>
      </c>
      <c r="D5" s="1" t="n">
        <v>1</v>
      </c>
      <c r="E5" s="1" t="n"/>
      <c r="F5" s="1" t="n">
        <v>1493000</v>
      </c>
      <c r="G5" s="1" t="n">
        <v>100000</v>
      </c>
      <c r="H5" s="1" t="n">
        <v>1789900</v>
      </c>
      <c r="I5" s="1" t="n">
        <v>0.824309130717794</v>
      </c>
      <c r="J5" s="1" t="n"/>
      <c r="K5" s="1" t="n">
        <v>468100</v>
      </c>
      <c r="L5" s="1" t="n">
        <v>19600</v>
      </c>
      <c r="M5" s="1" t="n">
        <v>468100</v>
      </c>
      <c r="N5" s="1" t="n">
        <v>1</v>
      </c>
      <c r="O5" s="1" t="n"/>
      <c r="P5" s="1" t="n">
        <v>85600</v>
      </c>
      <c r="Q5" s="1" t="n">
        <v>0</v>
      </c>
      <c r="R5" s="1" t="n">
        <v>151900</v>
      </c>
      <c r="S5" s="1" t="n">
        <v>0.5635286372613562</v>
      </c>
      <c r="T5" s="1" t="n">
        <v>0.4364713627386438</v>
      </c>
      <c r="U5" s="1" t="n"/>
      <c r="V5" s="1" t="n">
        <v>659300</v>
      </c>
      <c r="W5" s="1" t="n">
        <v>15600</v>
      </c>
      <c r="X5" s="1" t="n">
        <v>659300</v>
      </c>
      <c r="Y5" s="1" t="n">
        <v>1</v>
      </c>
      <c r="Z5" s="1" t="n"/>
      <c r="AA5" s="1" t="n">
        <v>0.051</v>
      </c>
      <c r="AB5" s="1" t="n">
        <v>-0.092</v>
      </c>
      <c r="AC5" s="1" t="n">
        <v>0.089</v>
      </c>
      <c r="AD5" s="1" t="n">
        <v>0.7900552486187845</v>
      </c>
      <c r="AE5" s="1" t="n"/>
      <c r="AF5" s="1" t="n">
        <v>0.031</v>
      </c>
      <c r="AG5" s="1" t="n">
        <v>-0.012</v>
      </c>
      <c r="AH5" s="1" t="n">
        <v>0.096</v>
      </c>
      <c r="AI5" s="1" t="n">
        <v>0.3981481481481481</v>
      </c>
      <c r="AJ5" s="1" t="n">
        <v>0.6018518518518519</v>
      </c>
      <c r="AK5" s="1" t="n"/>
      <c r="AL5" s="1" t="n">
        <v>253.7559459459457</v>
      </c>
      <c r="AM5" s="1" t="n">
        <v>164.1204356189602</v>
      </c>
      <c r="AN5" s="1" t="n">
        <v>840.9842519685039</v>
      </c>
      <c r="AO5" s="1" t="n">
        <v>0.132427688054603</v>
      </c>
      <c r="AP5" s="1" t="n">
        <v>0.867572311945397</v>
      </c>
      <c r="AQ5" s="1" t="n"/>
      <c r="AR5" s="1" t="n">
        <v>661.64</v>
      </c>
      <c r="AS5" s="1" t="n">
        <v>582.9</v>
      </c>
      <c r="AT5" s="1" t="n">
        <v>1212.48</v>
      </c>
      <c r="AU5" s="1" t="n">
        <v>0.1250675053210077</v>
      </c>
      <c r="AW5" s="1" t="n">
        <v>0.9402262584792577</v>
      </c>
      <c r="AX5" s="1" t="n">
        <v>0.718235681369322</v>
      </c>
      <c r="AY5" s="1" t="n">
        <v>0.1250675053210077</v>
      </c>
      <c r="AZ5" s="1" t="n">
        <v>0.6959535502353182</v>
      </c>
      <c r="BA5" s="1" t="n">
        <v>0.6883982770036334</v>
      </c>
    </row>
    <row r="6">
      <c r="A6" s="1" t="n">
        <v>363200</v>
      </c>
      <c r="B6" s="1" t="n">
        <v>12000</v>
      </c>
      <c r="C6" s="1" t="n">
        <v>579900</v>
      </c>
      <c r="D6" s="1" t="n">
        <v>0.6184187356929037</v>
      </c>
      <c r="E6" s="1" t="n"/>
      <c r="F6" s="1" t="n">
        <v>665800</v>
      </c>
      <c r="G6" s="1" t="n">
        <v>100000</v>
      </c>
      <c r="H6" s="1" t="n">
        <v>1789900</v>
      </c>
      <c r="I6" s="1" t="n">
        <v>0.3348127108112906</v>
      </c>
      <c r="J6" s="1" t="n"/>
      <c r="K6" s="1" t="n">
        <v>316500</v>
      </c>
      <c r="L6" s="1" t="n">
        <v>19600</v>
      </c>
      <c r="M6" s="1" t="n">
        <v>468100</v>
      </c>
      <c r="N6" s="1" t="n">
        <v>0.6619843924191751</v>
      </c>
      <c r="O6" s="1" t="n"/>
      <c r="P6" s="1" t="n">
        <v>97800</v>
      </c>
      <c r="Q6" s="1" t="n">
        <v>0</v>
      </c>
      <c r="R6" s="1" t="n">
        <v>151900</v>
      </c>
      <c r="S6" s="1" t="n">
        <v>0.6438446346280448</v>
      </c>
      <c r="T6" s="1" t="n">
        <v>0.3561553653719552</v>
      </c>
      <c r="U6" s="1" t="n"/>
      <c r="V6" s="1" t="n">
        <v>414100</v>
      </c>
      <c r="W6" s="1" t="n">
        <v>15600</v>
      </c>
      <c r="X6" s="1" t="n">
        <v>659300</v>
      </c>
      <c r="Y6" s="1" t="n">
        <v>0.6190772098803791</v>
      </c>
      <c r="Z6" s="1" t="n"/>
      <c r="AA6" s="1" t="n">
        <v>0.055</v>
      </c>
      <c r="AB6" s="1" t="n">
        <v>-0.092</v>
      </c>
      <c r="AC6" s="1" t="n">
        <v>0.089</v>
      </c>
      <c r="AD6" s="1" t="n">
        <v>0.8121546961325967</v>
      </c>
      <c r="AE6" s="1" t="n"/>
      <c r="AF6" s="1" t="n">
        <v>0.08400000000000001</v>
      </c>
      <c r="AG6" s="1" t="n">
        <v>-0.012</v>
      </c>
      <c r="AH6" s="1" t="n">
        <v>0.096</v>
      </c>
      <c r="AI6" s="1" t="n">
        <v>0.888888888888889</v>
      </c>
      <c r="AJ6" s="1" t="n">
        <v>0.111111111111111</v>
      </c>
      <c r="AK6" s="1" t="n"/>
      <c r="AL6" s="1" t="n">
        <v>341.3670419161679</v>
      </c>
      <c r="AM6" s="1" t="n">
        <v>164.1204356189602</v>
      </c>
      <c r="AN6" s="1" t="n">
        <v>840.9842519685039</v>
      </c>
      <c r="AO6" s="1" t="n">
        <v>0.2618645021581042</v>
      </c>
      <c r="AP6" s="1" t="n">
        <v>0.7381354978418958</v>
      </c>
      <c r="AQ6" s="1" t="n"/>
      <c r="AR6" s="1" t="n">
        <v>638.66</v>
      </c>
      <c r="AS6" s="1" t="n">
        <v>582.9</v>
      </c>
      <c r="AT6" s="1" t="n">
        <v>1212.48</v>
      </c>
      <c r="AU6" s="1" t="n">
        <v>0.08856698116204452</v>
      </c>
      <c r="AW6" s="1" t="n">
        <v>0.5365012983241101</v>
      </c>
      <c r="AX6" s="1" t="n">
        <v>0.4872870505324295</v>
      </c>
      <c r="AY6" s="1" t="n">
        <v>0.08856698116204452</v>
      </c>
      <c r="AZ6" s="1" t="n">
        <v>0.461632903621854</v>
      </c>
      <c r="BA6" s="1" t="n">
        <v>0.4272287357750248</v>
      </c>
    </row>
    <row r="7">
      <c r="A7" s="1" t="n">
        <v>402300</v>
      </c>
      <c r="B7" s="1" t="n">
        <v>12000</v>
      </c>
      <c r="C7" s="1" t="n">
        <v>579900</v>
      </c>
      <c r="D7" s="1" t="n">
        <v>0.6872688853671421</v>
      </c>
      <c r="E7" s="1" t="n"/>
      <c r="F7" s="1" t="n">
        <v>854000</v>
      </c>
      <c r="G7" s="1" t="n">
        <v>100000</v>
      </c>
      <c r="H7" s="1" t="n">
        <v>1789900</v>
      </c>
      <c r="I7" s="1" t="n">
        <v>0.4461802473519143</v>
      </c>
      <c r="J7" s="1" t="n"/>
      <c r="K7" s="1" t="n">
        <v>332400</v>
      </c>
      <c r="L7" s="1" t="n">
        <v>19600</v>
      </c>
      <c r="M7" s="1" t="n">
        <v>468100</v>
      </c>
      <c r="N7" s="1" t="n">
        <v>0.6974358974358974</v>
      </c>
      <c r="O7" s="1" t="n"/>
      <c r="P7" s="1" t="n">
        <v>108600</v>
      </c>
      <c r="Q7" s="1" t="n">
        <v>0</v>
      </c>
      <c r="R7" s="1" t="n">
        <v>151900</v>
      </c>
      <c r="S7" s="1" t="n">
        <v>0.7149440421329822</v>
      </c>
      <c r="T7" s="1" t="n">
        <v>0.2850559578670178</v>
      </c>
      <c r="U7" s="1" t="n"/>
      <c r="V7" s="1" t="n">
        <v>407400</v>
      </c>
      <c r="W7" s="1" t="n">
        <v>15600</v>
      </c>
      <c r="X7" s="1" t="n">
        <v>659300</v>
      </c>
      <c r="Y7" s="1" t="n">
        <v>0.6086686344570452</v>
      </c>
      <c r="Z7" s="1" t="n"/>
      <c r="AA7" s="1" t="n">
        <v>0.028</v>
      </c>
      <c r="AB7" s="1" t="n">
        <v>-0.092</v>
      </c>
      <c r="AC7" s="1" t="n">
        <v>0.089</v>
      </c>
      <c r="AD7" s="1" t="n">
        <v>0.6629834254143646</v>
      </c>
      <c r="AE7" s="1" t="n"/>
      <c r="AF7" s="1" t="n">
        <v>0.035</v>
      </c>
      <c r="AG7" s="1" t="n">
        <v>-0.012</v>
      </c>
      <c r="AH7" s="1" t="n">
        <v>0.096</v>
      </c>
      <c r="AI7" s="1" t="n">
        <v>0.4351851851851852</v>
      </c>
      <c r="AJ7" s="1" t="n">
        <v>0.5648148148148149</v>
      </c>
      <c r="AK7" s="1" t="n"/>
      <c r="AL7" s="1" t="n">
        <v>561.969357311321</v>
      </c>
      <c r="AM7" s="1" t="n">
        <v>164.1204356189602</v>
      </c>
      <c r="AN7" s="1" t="n">
        <v>840.9842519685039</v>
      </c>
      <c r="AO7" s="1" t="n">
        <v>0.587782818467142</v>
      </c>
      <c r="AP7" s="1" t="n">
        <v>0.412217181532858</v>
      </c>
      <c r="AQ7" s="1" t="n"/>
      <c r="AR7" s="1" t="n">
        <v>582.9</v>
      </c>
      <c r="AS7" s="1" t="n">
        <v>582.9</v>
      </c>
      <c r="AT7" s="1" t="n">
        <v>1212.48</v>
      </c>
      <c r="AU7" s="1" t="n">
        <v>0</v>
      </c>
      <c r="AW7" s="1" t="n">
        <v>0.5826333041628481</v>
      </c>
      <c r="AX7" s="1" t="n">
        <v>0.48616242161708</v>
      </c>
      <c r="AY7" s="1" t="n">
        <v>0</v>
      </c>
      <c r="AZ7" s="1" t="n">
        <v>0.6138991201145898</v>
      </c>
      <c r="BA7" s="1" t="n">
        <v>0.4275182903119713</v>
      </c>
    </row>
    <row r="8">
      <c r="A8" s="1" t="n">
        <v>460000</v>
      </c>
      <c r="B8" s="1" t="n">
        <v>12000</v>
      </c>
      <c r="C8" s="1" t="n">
        <v>579900</v>
      </c>
      <c r="D8" s="1" t="n">
        <v>0.7888712801549569</v>
      </c>
      <c r="E8" s="1" t="n"/>
      <c r="F8" s="1" t="n">
        <v>1289900</v>
      </c>
      <c r="G8" s="1" t="n">
        <v>100000</v>
      </c>
      <c r="H8" s="1" t="n">
        <v>1789900</v>
      </c>
      <c r="I8" s="1" t="n">
        <v>0.7041245044085449</v>
      </c>
      <c r="J8" s="1" t="n"/>
      <c r="K8" s="1" t="n">
        <v>415500</v>
      </c>
      <c r="L8" s="1" t="n">
        <v>19600</v>
      </c>
      <c r="M8" s="1" t="n">
        <v>468100</v>
      </c>
      <c r="N8" s="1" t="n">
        <v>0.8827201783723523</v>
      </c>
      <c r="O8" s="1" t="n"/>
      <c r="P8" s="1" t="n">
        <v>92800</v>
      </c>
      <c r="Q8" s="1" t="n">
        <v>0</v>
      </c>
      <c r="R8" s="1" t="n">
        <v>151900</v>
      </c>
      <c r="S8" s="1" t="n">
        <v>0.6109282422646478</v>
      </c>
      <c r="T8" s="1" t="n">
        <v>0.3890717577353522</v>
      </c>
      <c r="U8" s="1" t="n"/>
      <c r="V8" s="1" t="n">
        <v>468300</v>
      </c>
      <c r="W8" s="1" t="n">
        <v>15600</v>
      </c>
      <c r="X8" s="1" t="n">
        <v>659300</v>
      </c>
      <c r="Y8" s="1" t="n">
        <v>0.7032779244989902</v>
      </c>
      <c r="Z8" s="1" t="n"/>
      <c r="AA8" s="1" t="n">
        <v>0.032</v>
      </c>
      <c r="AB8" s="1" t="n">
        <v>-0.092</v>
      </c>
      <c r="AC8" s="1" t="n">
        <v>0.089</v>
      </c>
      <c r="AD8" s="1" t="n">
        <v>0.6850828729281768</v>
      </c>
      <c r="AE8" s="1" t="n"/>
      <c r="AF8" s="1" t="n">
        <v>0.028</v>
      </c>
      <c r="AG8" s="1" t="n">
        <v>-0.012</v>
      </c>
      <c r="AH8" s="1" t="n">
        <v>0.096</v>
      </c>
      <c r="AI8" s="1" t="n">
        <v>0.3703703703703704</v>
      </c>
      <c r="AJ8" s="1" t="n">
        <v>0.6296296296296295</v>
      </c>
      <c r="AK8" s="1" t="n"/>
      <c r="AL8" s="1" t="n">
        <v>630.1010757211538</v>
      </c>
      <c r="AM8" s="1" t="n">
        <v>164.1204356189602</v>
      </c>
      <c r="AN8" s="1" t="n">
        <v>840.9842519685039</v>
      </c>
      <c r="AO8" s="1" t="n">
        <v>0.6884407599379688</v>
      </c>
      <c r="AP8" s="1" t="n">
        <v>0.3115592400620312</v>
      </c>
      <c r="AQ8" s="1" t="n"/>
      <c r="AR8" s="1" t="n">
        <v>705.35</v>
      </c>
      <c r="AS8" s="1" t="n">
        <v>582.9</v>
      </c>
      <c r="AT8" s="1" t="n">
        <v>1212.48</v>
      </c>
      <c r="AU8" s="1" t="n">
        <v>0.1944947425267639</v>
      </c>
      <c r="AW8" s="1" t="n">
        <v>0.7626877949980204</v>
      </c>
      <c r="AX8" s="1" t="n">
        <v>0.5889715189451546</v>
      </c>
      <c r="AY8" s="1" t="n">
        <v>0.1944947425267639</v>
      </c>
      <c r="AZ8" s="1" t="n">
        <v>0.6573562512789033</v>
      </c>
      <c r="BA8" s="1" t="n">
        <v>0.5795626740826229</v>
      </c>
    </row>
    <row r="9">
      <c r="A9" s="1" t="n">
        <v>54400</v>
      </c>
      <c r="B9" s="1" t="n">
        <v>12000</v>
      </c>
      <c r="C9" s="1" t="n">
        <v>579900</v>
      </c>
      <c r="D9" s="1" t="n">
        <v>0.07466103187180842</v>
      </c>
      <c r="E9" s="1" t="n"/>
      <c r="F9" s="1" t="n">
        <v>100300</v>
      </c>
      <c r="G9" s="1" t="n">
        <v>100000</v>
      </c>
      <c r="H9" s="1" t="n">
        <v>1789900</v>
      </c>
      <c r="I9" s="1" t="n">
        <v>0.0001775252973548731</v>
      </c>
      <c r="J9" s="1" t="n"/>
      <c r="K9" s="1" t="n">
        <v>64900.00000000001</v>
      </c>
      <c r="L9" s="1" t="n">
        <v>19600</v>
      </c>
      <c r="M9" s="1" t="n">
        <v>468100</v>
      </c>
      <c r="N9" s="1" t="n">
        <v>0.1010033444816054</v>
      </c>
      <c r="O9" s="1" t="n"/>
      <c r="P9" s="1" t="n">
        <v>700</v>
      </c>
      <c r="Q9" s="1" t="n">
        <v>0</v>
      </c>
      <c r="R9" s="1" t="n">
        <v>151900</v>
      </c>
      <c r="S9" s="1" t="n">
        <v>0.004608294930875576</v>
      </c>
      <c r="T9" s="1" t="n">
        <v>0.9953917050691244</v>
      </c>
      <c r="U9" s="1" t="n"/>
      <c r="V9" s="1" t="n">
        <v>22500</v>
      </c>
      <c r="W9" s="1" t="n">
        <v>15600</v>
      </c>
      <c r="X9" s="1" t="n">
        <v>659300</v>
      </c>
      <c r="Y9" s="1" t="n">
        <v>0.01071927916731397</v>
      </c>
      <c r="Z9" s="1" t="n"/>
      <c r="AA9" s="1" t="n">
        <v>0.029</v>
      </c>
      <c r="AB9" s="1" t="n">
        <v>-0.092</v>
      </c>
      <c r="AC9" s="1" t="n">
        <v>0.089</v>
      </c>
      <c r="AD9" s="1" t="n">
        <v>0.6685082872928176</v>
      </c>
      <c r="AE9" s="1" t="n"/>
      <c r="AF9" s="1" t="n">
        <v>0.01</v>
      </c>
      <c r="AG9" s="1" t="n">
        <v>-0.012</v>
      </c>
      <c r="AH9" s="1" t="n">
        <v>0.096</v>
      </c>
      <c r="AI9" s="1" t="n">
        <v>0.2037037037037037</v>
      </c>
      <c r="AJ9" s="1" t="n">
        <v>0.7962962962962963</v>
      </c>
      <c r="AK9" s="1" t="n"/>
      <c r="AL9" s="1" t="n">
        <v>309.5344827586207</v>
      </c>
      <c r="AM9" s="1" t="n">
        <v>164.1204356189602</v>
      </c>
      <c r="AN9" s="1" t="n">
        <v>840.9842519685039</v>
      </c>
      <c r="AO9" s="1" t="n">
        <v>0.2148350135244433</v>
      </c>
      <c r="AP9" s="1" t="n">
        <v>0.7851649864755568</v>
      </c>
      <c r="AQ9" s="1" t="n"/>
      <c r="AR9" s="1" t="n">
        <v>886.88</v>
      </c>
      <c r="AS9" s="1" t="n">
        <v>582.9</v>
      </c>
      <c r="AT9" s="1" t="n">
        <v>1212.48</v>
      </c>
      <c r="AU9" s="1" t="n">
        <v>0.4828298230566409</v>
      </c>
      <c r="AW9" s="1" t="n">
        <v>0.03687914956633971</v>
      </c>
      <c r="AX9" s="1" t="n">
        <v>0.5350263684704664</v>
      </c>
      <c r="AY9" s="1" t="n">
        <v>0.4828298230566409</v>
      </c>
      <c r="AZ9" s="1" t="n">
        <v>0.732402291794557</v>
      </c>
      <c r="BA9" s="1" t="n">
        <v>0.3253281718260507</v>
      </c>
    </row>
    <row r="10">
      <c r="A10" s="1" t="n">
        <v>71600</v>
      </c>
      <c r="B10" s="1" t="n">
        <v>12000</v>
      </c>
      <c r="C10" s="1" t="n">
        <v>579900</v>
      </c>
      <c r="D10" s="1" t="n">
        <v>0.1049480542349005</v>
      </c>
      <c r="E10" s="1" t="n"/>
      <c r="F10" s="1" t="n">
        <v>140500</v>
      </c>
      <c r="G10" s="1" t="n">
        <v>100000</v>
      </c>
      <c r="H10" s="1" t="n">
        <v>1789900</v>
      </c>
      <c r="I10" s="1" t="n">
        <v>0.02396591514290786</v>
      </c>
      <c r="J10" s="1" t="n"/>
      <c r="K10" s="1" t="n">
        <v>80200</v>
      </c>
      <c r="L10" s="1" t="n">
        <v>19600</v>
      </c>
      <c r="M10" s="1" t="n">
        <v>468100</v>
      </c>
      <c r="N10" s="1" t="n">
        <v>0.1351170568561873</v>
      </c>
      <c r="O10" s="1" t="n"/>
      <c r="P10" s="1" t="n">
        <v>2300</v>
      </c>
      <c r="Q10" s="1" t="n">
        <v>0</v>
      </c>
      <c r="R10" s="1" t="n">
        <v>151900</v>
      </c>
      <c r="S10" s="1" t="n">
        <v>0.01514154048716261</v>
      </c>
      <c r="T10" s="1" t="n">
        <v>0.9848584595128373</v>
      </c>
      <c r="U10" s="1" t="n"/>
      <c r="V10" s="1" t="n">
        <v>24700</v>
      </c>
      <c r="W10" s="1" t="n">
        <v>15600</v>
      </c>
      <c r="X10" s="1" t="n">
        <v>659300</v>
      </c>
      <c r="Y10" s="1" t="n">
        <v>0.01413702035109523</v>
      </c>
      <c r="Z10" s="1" t="n"/>
      <c r="AA10" s="1" t="n">
        <v>0.027</v>
      </c>
      <c r="AB10" s="1" t="n">
        <v>-0.092</v>
      </c>
      <c r="AC10" s="1" t="n">
        <v>0.089</v>
      </c>
      <c r="AD10" s="1" t="n">
        <v>0.6574585635359116</v>
      </c>
      <c r="AE10" s="1" t="n"/>
      <c r="AF10" s="1" t="n">
        <v>0.003</v>
      </c>
      <c r="AG10" s="1" t="n">
        <v>-0.012</v>
      </c>
      <c r="AH10" s="1" t="n">
        <v>0.096</v>
      </c>
      <c r="AI10" s="1" t="n">
        <v>0.1388888888888889</v>
      </c>
      <c r="AJ10" s="1" t="n">
        <v>0.8611111111111112</v>
      </c>
      <c r="AK10" s="1" t="n"/>
      <c r="AL10" s="1" t="n">
        <v>270.4256756756757</v>
      </c>
      <c r="AM10" s="1" t="n">
        <v>164.1204356189602</v>
      </c>
      <c r="AN10" s="1" t="n">
        <v>840.9842519685039</v>
      </c>
      <c r="AO10" s="1" t="n">
        <v>0.1570555811803326</v>
      </c>
      <c r="AP10" s="1" t="n">
        <v>0.8429444188196674</v>
      </c>
      <c r="AQ10" s="1" t="n"/>
      <c r="AR10" s="1" t="n">
        <v>703.53</v>
      </c>
      <c r="AS10" s="1" t="n">
        <v>582.9</v>
      </c>
      <c r="AT10" s="1" t="n">
        <v>1212.48</v>
      </c>
      <c r="AU10" s="1" t="n">
        <v>0.1916039264271419</v>
      </c>
      <c r="AW10" s="1" t="n">
        <v>0.05734098917679112</v>
      </c>
      <c r="AX10" s="1" t="n">
        <v>0.5449032568738689</v>
      </c>
      <c r="AY10" s="1" t="n">
        <v>0.1916039264271419</v>
      </c>
      <c r="AZ10" s="1" t="n">
        <v>0.7592848373235115</v>
      </c>
      <c r="BA10" s="1" t="n">
        <v>0.2792184837056924</v>
      </c>
    </row>
    <row r="11">
      <c r="A11" s="1" t="n">
        <v>61800</v>
      </c>
      <c r="B11" s="1" t="n">
        <v>12000</v>
      </c>
      <c r="C11" s="1" t="n">
        <v>579900</v>
      </c>
      <c r="D11" s="1" t="n">
        <v>0.08769149498151083</v>
      </c>
      <c r="E11" s="1" t="n"/>
      <c r="F11" s="1" t="n">
        <v>100000</v>
      </c>
      <c r="G11" s="1" t="n">
        <v>100000</v>
      </c>
      <c r="H11" s="1" t="n">
        <v>1789900</v>
      </c>
      <c r="I11" s="1" t="n">
        <v>0</v>
      </c>
      <c r="J11" s="1" t="n"/>
      <c r="K11" s="1" t="n">
        <v>76100</v>
      </c>
      <c r="L11" s="1" t="n">
        <v>19600</v>
      </c>
      <c r="M11" s="1" t="n">
        <v>468100</v>
      </c>
      <c r="N11" s="1" t="n">
        <v>0.1259754738015608</v>
      </c>
      <c r="O11" s="1" t="n"/>
      <c r="P11" s="1" t="n">
        <v>400</v>
      </c>
      <c r="Q11" s="1" t="n">
        <v>0</v>
      </c>
      <c r="R11" s="1" t="n">
        <v>151900</v>
      </c>
      <c r="S11" s="1" t="n">
        <v>0.002633311389071758</v>
      </c>
      <c r="T11" s="1" t="n">
        <v>0.9973666886109283</v>
      </c>
      <c r="U11" s="1" t="n"/>
      <c r="V11" s="1" t="n">
        <v>15600</v>
      </c>
      <c r="W11" s="1" t="n">
        <v>15600</v>
      </c>
      <c r="X11" s="1" t="n">
        <v>659300</v>
      </c>
      <c r="Y11" s="1" t="n">
        <v>0</v>
      </c>
      <c r="Z11" s="1" t="n"/>
      <c r="AA11" s="1" t="n">
        <v>-0.082</v>
      </c>
      <c r="AB11" s="1" t="n">
        <v>-0.092</v>
      </c>
      <c r="AC11" s="1" t="n">
        <v>0.089</v>
      </c>
      <c r="AD11" s="1" t="n">
        <v>0.05524861878453036</v>
      </c>
      <c r="AE11" s="1" t="n"/>
      <c r="AF11" s="1" t="n">
        <v>0</v>
      </c>
      <c r="AG11" s="1" t="n">
        <v>-0.012</v>
      </c>
      <c r="AH11" s="1" t="n">
        <v>0.096</v>
      </c>
      <c r="AI11" s="1" t="n">
        <v>0.1111111111111111</v>
      </c>
      <c r="AJ11" s="1" t="n">
        <v>0.8888888888888888</v>
      </c>
      <c r="AK11" s="1" t="n"/>
      <c r="AL11" s="1" t="n">
        <v>239.9397590361446</v>
      </c>
      <c r="AM11" s="1" t="n">
        <v>164.1204356189602</v>
      </c>
      <c r="AN11" s="1" t="n">
        <v>840.9842519685039</v>
      </c>
      <c r="AO11" s="1" t="n">
        <v>0.1120156249836083</v>
      </c>
      <c r="AP11" s="1" t="n">
        <v>0.8879843750163917</v>
      </c>
      <c r="AQ11" s="1" t="n"/>
      <c r="AR11" s="1" t="n">
        <v>710.88</v>
      </c>
      <c r="AS11" s="1" t="n">
        <v>582.9</v>
      </c>
      <c r="AT11" s="1" t="n">
        <v>1212.48</v>
      </c>
      <c r="AU11" s="1" t="n">
        <v>0.2032783760602306</v>
      </c>
      <c r="AW11" s="1" t="n">
        <v>0.04150584614097453</v>
      </c>
      <c r="AX11" s="1" t="n">
        <v>0.5425290917962194</v>
      </c>
      <c r="AY11" s="1" t="n">
        <v>0.2032783760602306</v>
      </c>
      <c r="AZ11" s="1" t="n">
        <v>0.4720687538367096</v>
      </c>
      <c r="BA11" s="1" t="n">
        <v>0.2742696503869237</v>
      </c>
    </row>
    <row r="12">
      <c r="A12" s="1" t="n">
        <v>59300</v>
      </c>
      <c r="B12" s="1" t="n">
        <v>12000</v>
      </c>
      <c r="C12" s="1" t="n">
        <v>579900</v>
      </c>
      <c r="D12" s="1" t="n">
        <v>0.08328931149850326</v>
      </c>
      <c r="E12" s="1" t="n"/>
      <c r="F12" s="1" t="n">
        <v>206200</v>
      </c>
      <c r="G12" s="1" t="n">
        <v>100000</v>
      </c>
      <c r="H12" s="1" t="n">
        <v>1789900</v>
      </c>
      <c r="I12" s="1" t="n">
        <v>0.06284395526362507</v>
      </c>
      <c r="J12" s="1" t="n"/>
      <c r="K12" s="1" t="n">
        <v>72700</v>
      </c>
      <c r="L12" s="1" t="n">
        <v>19600</v>
      </c>
      <c r="M12" s="1" t="n">
        <v>468100</v>
      </c>
      <c r="N12" s="1" t="n">
        <v>0.1183946488294314</v>
      </c>
      <c r="O12" s="1" t="n"/>
      <c r="P12" s="1" t="n">
        <v>0</v>
      </c>
      <c r="Q12" s="1" t="n">
        <v>0</v>
      </c>
      <c r="R12" s="1" t="n">
        <v>151900</v>
      </c>
      <c r="S12" s="1" t="n">
        <v>0</v>
      </c>
      <c r="T12" s="1" t="n">
        <v>1</v>
      </c>
      <c r="U12" s="1" t="n"/>
      <c r="V12" s="1" t="n">
        <v>25500</v>
      </c>
      <c r="W12" s="1" t="n">
        <v>15600</v>
      </c>
      <c r="X12" s="1" t="n">
        <v>659300</v>
      </c>
      <c r="Y12" s="1" t="n">
        <v>0.01537983532701569</v>
      </c>
      <c r="Z12" s="1" t="n"/>
      <c r="AA12" s="1" t="n">
        <v>0.056</v>
      </c>
      <c r="AB12" s="1" t="n">
        <v>-0.092</v>
      </c>
      <c r="AC12" s="1" t="n">
        <v>0.089</v>
      </c>
      <c r="AD12" s="1" t="n">
        <v>0.8176795580110497</v>
      </c>
      <c r="AE12" s="1" t="n"/>
      <c r="AF12" s="1" t="n">
        <v>0.013</v>
      </c>
      <c r="AG12" s="1" t="n">
        <v>-0.012</v>
      </c>
      <c r="AH12" s="1" t="n">
        <v>0.096</v>
      </c>
      <c r="AI12" s="1" t="n">
        <v>0.2314814814814815</v>
      </c>
      <c r="AJ12" s="1" t="n">
        <v>0.7685185185185185</v>
      </c>
      <c r="AK12" s="1" t="n"/>
      <c r="AL12" s="1" t="n">
        <v>294.6031801526717</v>
      </c>
      <c r="AM12" s="1" t="n">
        <v>164.1204356189602</v>
      </c>
      <c r="AN12" s="1" t="n">
        <v>840.9842519685039</v>
      </c>
      <c r="AO12" s="1" t="n">
        <v>0.1927754762212433</v>
      </c>
      <c r="AP12" s="1" t="n">
        <v>0.8072245237787568</v>
      </c>
      <c r="AQ12" s="1" t="n"/>
      <c r="AR12" s="1" t="n">
        <v>734.05</v>
      </c>
      <c r="AS12" s="1" t="n">
        <v>582.9</v>
      </c>
      <c r="AT12" s="1" t="n">
        <v>1212.48</v>
      </c>
      <c r="AU12" s="1" t="n">
        <v>0.2400806887131103</v>
      </c>
      <c r="AW12" s="1" t="n">
        <v>0.06546899918619681</v>
      </c>
      <c r="AX12" s="1" t="n">
        <v>0.5416446557492516</v>
      </c>
      <c r="AY12" s="1" t="n">
        <v>0.2400806887131103</v>
      </c>
      <c r="AZ12" s="1" t="n">
        <v>0.7930990382647842</v>
      </c>
      <c r="BA12" s="1" t="n">
        <v>0.2908615997168014</v>
      </c>
    </row>
    <row r="13">
      <c r="A13" s="1" t="n">
        <v>39100</v>
      </c>
      <c r="B13" s="1" t="n">
        <v>12000</v>
      </c>
      <c r="C13" s="1" t="n">
        <v>579900</v>
      </c>
      <c r="D13" s="1" t="n">
        <v>0.04771966895580208</v>
      </c>
      <c r="E13" s="1" t="n"/>
      <c r="F13" s="1" t="n">
        <v>126000</v>
      </c>
      <c r="G13" s="1" t="n">
        <v>100000</v>
      </c>
      <c r="H13" s="1" t="n">
        <v>1789900</v>
      </c>
      <c r="I13" s="1" t="n">
        <v>0.01538552577075567</v>
      </c>
      <c r="J13" s="1" t="n"/>
      <c r="K13" s="1" t="n">
        <v>59000</v>
      </c>
      <c r="L13" s="1" t="n">
        <v>19600</v>
      </c>
      <c r="M13" s="1" t="n">
        <v>468100</v>
      </c>
      <c r="N13" s="1" t="n">
        <v>0.08784838350055742</v>
      </c>
      <c r="O13" s="1" t="n"/>
      <c r="P13" s="1" t="n">
        <v>2300</v>
      </c>
      <c r="Q13" s="1" t="n">
        <v>0</v>
      </c>
      <c r="R13" s="1" t="n">
        <v>151900</v>
      </c>
      <c r="S13" s="1" t="n">
        <v>0.01514154048716261</v>
      </c>
      <c r="T13" s="1" t="n">
        <v>0.9848584595128373</v>
      </c>
      <c r="U13" s="1" t="n"/>
      <c r="V13" s="1" t="n">
        <v>16900</v>
      </c>
      <c r="W13" s="1" t="n">
        <v>15600</v>
      </c>
      <c r="X13" s="1" t="n">
        <v>659300</v>
      </c>
      <c r="Y13" s="1" t="n">
        <v>0.002019574335870747</v>
      </c>
      <c r="Z13" s="1" t="n"/>
      <c r="AA13" s="1" t="n">
        <v>0.07000000000000001</v>
      </c>
      <c r="AB13" s="1" t="n">
        <v>-0.092</v>
      </c>
      <c r="AC13" s="1" t="n">
        <v>0.089</v>
      </c>
      <c r="AD13" s="1" t="n">
        <v>0.8950276243093923</v>
      </c>
      <c r="AE13" s="1" t="n"/>
      <c r="AF13" s="1" t="n">
        <v>0.078</v>
      </c>
      <c r="AG13" s="1" t="n">
        <v>-0.012</v>
      </c>
      <c r="AH13" s="1" t="n">
        <v>0.096</v>
      </c>
      <c r="AI13" s="1" t="n">
        <v>0.8333333333333333</v>
      </c>
      <c r="AJ13" s="1" t="n">
        <v>0.1666666666666667</v>
      </c>
      <c r="AK13" s="1" t="n"/>
      <c r="AL13" s="1" t="n">
        <v>336.48511875</v>
      </c>
      <c r="AM13" s="1" t="n">
        <v>164.1204356189602</v>
      </c>
      <c r="AN13" s="1" t="n">
        <v>840.9842519685039</v>
      </c>
      <c r="AO13" s="1" t="n">
        <v>0.2546519387912262</v>
      </c>
      <c r="AP13" s="1" t="n">
        <v>0.7453480612087737</v>
      </c>
      <c r="AQ13" s="1" t="n"/>
      <c r="AR13" s="1" t="n">
        <v>795.25</v>
      </c>
      <c r="AS13" s="1" t="n">
        <v>582.9</v>
      </c>
      <c r="AT13" s="1" t="n">
        <v>1212.48</v>
      </c>
      <c r="AU13" s="1" t="n">
        <v>0.3372883509641348</v>
      </c>
      <c r="AW13" s="1" t="n">
        <v>0.03484545238938903</v>
      </c>
      <c r="AX13" s="1" t="n">
        <v>0.5162890642343196</v>
      </c>
      <c r="AY13" s="1" t="n">
        <v>0.3372883509641348</v>
      </c>
      <c r="AZ13" s="1" t="n">
        <v>0.5308471454880297</v>
      </c>
      <c r="BA13" s="1" t="n">
        <v>0.2879114768423104</v>
      </c>
    </row>
    <row r="14">
      <c r="A14" s="1" t="n">
        <v>60900</v>
      </c>
      <c r="B14" s="1" t="n">
        <v>12000</v>
      </c>
      <c r="C14" s="1" t="n">
        <v>579900</v>
      </c>
      <c r="D14" s="1" t="n">
        <v>0.0861067089276281</v>
      </c>
      <c r="E14" s="1" t="n"/>
      <c r="F14" s="1" t="n">
        <v>160900</v>
      </c>
      <c r="G14" s="1" t="n">
        <v>100000</v>
      </c>
      <c r="H14" s="1" t="n">
        <v>1789900</v>
      </c>
      <c r="I14" s="1" t="n">
        <v>0.03603763536303924</v>
      </c>
      <c r="J14" s="1" t="n"/>
      <c r="K14" s="1" t="n">
        <v>55100</v>
      </c>
      <c r="L14" s="1" t="n">
        <v>19600</v>
      </c>
      <c r="M14" s="1" t="n">
        <v>468100</v>
      </c>
      <c r="N14" s="1" t="n">
        <v>0.07915273132664437</v>
      </c>
      <c r="O14" s="1" t="n"/>
      <c r="P14" s="1" t="n">
        <v>11500</v>
      </c>
      <c r="Q14" s="1" t="n">
        <v>0</v>
      </c>
      <c r="R14" s="1" t="n">
        <v>151900</v>
      </c>
      <c r="S14" s="1" t="n">
        <v>0.07570770243581304</v>
      </c>
      <c r="T14" s="1" t="n">
        <v>0.924292297564187</v>
      </c>
      <c r="U14" s="1" t="n"/>
      <c r="V14" s="1" t="n">
        <v>19700</v>
      </c>
      <c r="W14" s="1" t="n">
        <v>15600</v>
      </c>
      <c r="X14" s="1" t="n">
        <v>659300</v>
      </c>
      <c r="Y14" s="1" t="n">
        <v>0.006369426751592357</v>
      </c>
      <c r="Z14" s="1" t="n"/>
      <c r="AA14" s="1" t="n">
        <v>0.026</v>
      </c>
      <c r="AB14" s="1" t="n">
        <v>-0.092</v>
      </c>
      <c r="AC14" s="1" t="n">
        <v>0.089</v>
      </c>
      <c r="AD14" s="1" t="n">
        <v>0.6519337016574586</v>
      </c>
      <c r="AE14" s="1" t="n"/>
      <c r="AF14" s="1" t="n">
        <v>0.043</v>
      </c>
      <c r="AG14" s="1" t="n">
        <v>-0.012</v>
      </c>
      <c r="AH14" s="1" t="n">
        <v>0.096</v>
      </c>
      <c r="AI14" s="1" t="n">
        <v>0.5092592592592592</v>
      </c>
      <c r="AJ14" s="1" t="n">
        <v>0.4907407407407408</v>
      </c>
      <c r="AK14" s="1" t="n"/>
      <c r="AL14" s="1" t="n">
        <v>589.7307679487179</v>
      </c>
      <c r="AM14" s="1" t="n">
        <v>164.1204356189602</v>
      </c>
      <c r="AN14" s="1" t="n">
        <v>840.9842519685039</v>
      </c>
      <c r="AO14" s="1" t="n">
        <v>0.6287975838702027</v>
      </c>
      <c r="AP14" s="1" t="n">
        <v>0.3712024161297973</v>
      </c>
      <c r="AQ14" s="1" t="n"/>
      <c r="AR14" s="1" t="n">
        <v>721.1</v>
      </c>
      <c r="AS14" s="1" t="n">
        <v>582.9</v>
      </c>
      <c r="AT14" s="1" t="n">
        <v>1212.48</v>
      </c>
      <c r="AU14" s="1" t="n">
        <v>0.2195114203119541</v>
      </c>
      <c r="AW14" s="1" t="n">
        <v>0.04044350115124139</v>
      </c>
      <c r="AX14" s="1" t="n">
        <v>0.5051995032459075</v>
      </c>
      <c r="AY14" s="1" t="n">
        <v>0.2195114203119541</v>
      </c>
      <c r="AZ14" s="1" t="n">
        <v>0.5713372211990997</v>
      </c>
      <c r="BA14" s="1" t="n">
        <v>0.2621594858212504</v>
      </c>
    </row>
    <row r="15">
      <c r="A15" s="1" t="n">
        <v>72400</v>
      </c>
      <c r="B15" s="1" t="n">
        <v>12000</v>
      </c>
      <c r="C15" s="1" t="n">
        <v>579900</v>
      </c>
      <c r="D15" s="1" t="n">
        <v>0.1063567529494629</v>
      </c>
      <c r="E15" s="1" t="n"/>
      <c r="F15" s="1" t="n">
        <v>195000</v>
      </c>
      <c r="G15" s="1" t="n">
        <v>100000</v>
      </c>
      <c r="H15" s="1" t="n">
        <v>1789900</v>
      </c>
      <c r="I15" s="1" t="n">
        <v>0.05621634416237647</v>
      </c>
      <c r="J15" s="1" t="n"/>
      <c r="K15" s="1" t="n">
        <v>60000</v>
      </c>
      <c r="L15" s="1" t="n">
        <v>19600</v>
      </c>
      <c r="M15" s="1" t="n">
        <v>468100</v>
      </c>
      <c r="N15" s="1" t="n">
        <v>0.09007803790412486</v>
      </c>
      <c r="O15" s="1" t="n"/>
      <c r="P15" s="1" t="n">
        <v>13700</v>
      </c>
      <c r="Q15" s="1" t="n">
        <v>0</v>
      </c>
      <c r="R15" s="1" t="n">
        <v>151900</v>
      </c>
      <c r="S15" s="1" t="n">
        <v>0.0901909150757077</v>
      </c>
      <c r="T15" s="1" t="n">
        <v>0.9098090849242924</v>
      </c>
      <c r="U15" s="1" t="n"/>
      <c r="V15" s="1" t="n">
        <v>21000</v>
      </c>
      <c r="W15" s="1" t="n">
        <v>15600</v>
      </c>
      <c r="X15" s="1" t="n">
        <v>659300</v>
      </c>
      <c r="Y15" s="1" t="n">
        <v>0.008389001087463105</v>
      </c>
      <c r="Z15" s="1" t="n"/>
      <c r="AA15" s="1" t="n">
        <v>0.019</v>
      </c>
      <c r="AB15" s="1" t="n">
        <v>-0.092</v>
      </c>
      <c r="AC15" s="1" t="n">
        <v>0.089</v>
      </c>
      <c r="AD15" s="1" t="n">
        <v>0.6132596685082873</v>
      </c>
      <c r="AE15" s="1" t="n"/>
      <c r="AF15" s="1" t="n">
        <v>0.024</v>
      </c>
      <c r="AG15" s="1" t="n">
        <v>-0.012</v>
      </c>
      <c r="AH15" s="1" t="n">
        <v>0.096</v>
      </c>
      <c r="AI15" s="1" t="n">
        <v>0.3333333333333334</v>
      </c>
      <c r="AJ15" s="1" t="n">
        <v>0.6666666666666666</v>
      </c>
      <c r="AK15" s="1" t="n"/>
      <c r="AL15" s="1" t="n">
        <v>840.9842519685039</v>
      </c>
      <c r="AM15" s="1" t="n">
        <v>164.1204356189602</v>
      </c>
      <c r="AN15" s="1" t="n">
        <v>840.9842519685039</v>
      </c>
      <c r="AO15" s="1" t="n">
        <v>1</v>
      </c>
      <c r="AP15" s="1" t="n">
        <v>0</v>
      </c>
      <c r="AQ15" s="1" t="n"/>
      <c r="AR15" s="1" t="n">
        <v>774.13</v>
      </c>
      <c r="AS15" s="1" t="n">
        <v>582.9</v>
      </c>
      <c r="AT15" s="1" t="n">
        <v>1212.48</v>
      </c>
      <c r="AU15" s="1" t="n">
        <v>0.3037421773245656</v>
      </c>
      <c r="AW15" s="1" t="n">
        <v>0.05157541783048449</v>
      </c>
      <c r="AX15" s="1" t="n">
        <v>0.5080829189368776</v>
      </c>
      <c r="AY15" s="1" t="n">
        <v>0.3037421773245656</v>
      </c>
      <c r="AZ15" s="1" t="n">
        <v>0.6399631675874771</v>
      </c>
      <c r="BA15" s="1" t="n">
        <v>0.284611770171858</v>
      </c>
    </row>
    <row r="16">
      <c r="A16" s="1" t="n">
        <v>12000</v>
      </c>
      <c r="B16" s="1" t="n">
        <v>12000</v>
      </c>
      <c r="C16" s="1" t="n">
        <v>579900</v>
      </c>
      <c r="D16" s="1" t="n">
        <v>0</v>
      </c>
      <c r="E16" s="1" t="n"/>
      <c r="F16" s="1" t="n">
        <v>185000</v>
      </c>
      <c r="G16" s="1" t="n">
        <v>100000</v>
      </c>
      <c r="H16" s="1" t="n">
        <v>1789900</v>
      </c>
      <c r="I16" s="1" t="n">
        <v>0.05029883425054737</v>
      </c>
      <c r="J16" s="1" t="n"/>
      <c r="K16" s="1" t="n">
        <v>20200</v>
      </c>
      <c r="L16" s="1" t="n">
        <v>19600</v>
      </c>
      <c r="M16" s="1" t="n">
        <v>468100</v>
      </c>
      <c r="N16" s="1" t="n">
        <v>0.001337792642140468</v>
      </c>
      <c r="O16" s="1" t="n"/>
      <c r="P16" s="1" t="n">
        <v>0</v>
      </c>
      <c r="Q16" s="1" t="n">
        <v>0</v>
      </c>
      <c r="R16" s="1" t="n">
        <v>151900</v>
      </c>
      <c r="S16" s="1" t="n">
        <v>0</v>
      </c>
      <c r="T16" s="1" t="n">
        <v>1</v>
      </c>
      <c r="U16" s="1" t="n"/>
      <c r="V16" s="1" t="n">
        <v>199000</v>
      </c>
      <c r="W16" s="1" t="n">
        <v>15600</v>
      </c>
      <c r="X16" s="1" t="n">
        <v>659300</v>
      </c>
      <c r="Y16" s="1" t="n">
        <v>0.2849153332297654</v>
      </c>
      <c r="Z16" s="1" t="n"/>
      <c r="AA16" s="1" t="n">
        <v>0.021</v>
      </c>
      <c r="AB16" s="1" t="n">
        <v>-0.092</v>
      </c>
      <c r="AC16" s="1" t="n">
        <v>0.089</v>
      </c>
      <c r="AD16" s="1" t="n">
        <v>0.6243093922651934</v>
      </c>
      <c r="AE16" s="1" t="n"/>
      <c r="AF16" s="1" t="n">
        <v>0.006</v>
      </c>
      <c r="AG16" s="1" t="n">
        <v>-0.012</v>
      </c>
      <c r="AH16" s="1" t="n">
        <v>0.096</v>
      </c>
      <c r="AI16" s="1" t="n">
        <v>0.1666666666666667</v>
      </c>
      <c r="AJ16" s="1" t="n">
        <v>0.8333333333333333</v>
      </c>
      <c r="AK16" s="1" t="n"/>
      <c r="AL16" s="1" t="n">
        <v>269.2549693251534</v>
      </c>
      <c r="AM16" s="1" t="n">
        <v>164.1204356189602</v>
      </c>
      <c r="AN16" s="1" t="n">
        <v>840.9842519685039</v>
      </c>
      <c r="AO16" s="1" t="n">
        <v>0.1553259772005599</v>
      </c>
      <c r="AP16" s="1" t="n">
        <v>0.84467402279944</v>
      </c>
      <c r="AQ16" s="1" t="n"/>
      <c r="AR16" s="1" t="n">
        <v>913.35</v>
      </c>
      <c r="AS16" s="1" t="n">
        <v>582.9</v>
      </c>
      <c r="AT16" s="1" t="n">
        <v>1212.48</v>
      </c>
      <c r="AU16" s="1" t="n">
        <v>0.5248737253407033</v>
      </c>
      <c r="AW16" s="1" t="n">
        <v>0.1116619656018778</v>
      </c>
      <c r="AX16" s="1" t="n">
        <v>0.4999999999999999</v>
      </c>
      <c r="AY16" s="1" t="n">
        <v>0.5248737253407033</v>
      </c>
      <c r="AZ16" s="1" t="n">
        <v>0.7288213627992635</v>
      </c>
      <c r="BA16" s="1" t="n">
        <v>0.3496395313088918</v>
      </c>
    </row>
    <row r="17">
      <c r="A17" s="1" t="n">
        <v>114300</v>
      </c>
      <c r="B17" s="1" t="n">
        <v>12000</v>
      </c>
      <c r="C17" s="1" t="n">
        <v>579900</v>
      </c>
      <c r="D17" s="1" t="n">
        <v>0.1801373481246698</v>
      </c>
      <c r="E17" s="1" t="n"/>
      <c r="F17" s="1" t="n">
        <v>275000</v>
      </c>
      <c r="G17" s="1" t="n">
        <v>100000</v>
      </c>
      <c r="H17" s="1" t="n">
        <v>1789900</v>
      </c>
      <c r="I17" s="1" t="n">
        <v>0.1035564234570093</v>
      </c>
      <c r="J17" s="1" t="n"/>
      <c r="K17" s="1" t="n">
        <v>20800</v>
      </c>
      <c r="L17" s="1" t="n">
        <v>19600</v>
      </c>
      <c r="M17" s="1" t="n">
        <v>468100</v>
      </c>
      <c r="N17" s="1" t="n">
        <v>0.002675585284280936</v>
      </c>
      <c r="O17" s="1" t="n"/>
      <c r="P17" s="1" t="n">
        <v>0</v>
      </c>
      <c r="Q17" s="1" t="n">
        <v>0</v>
      </c>
      <c r="R17" s="1" t="n">
        <v>151900</v>
      </c>
      <c r="S17" s="1" t="n">
        <v>0</v>
      </c>
      <c r="T17" s="1" t="n">
        <v>1</v>
      </c>
      <c r="U17" s="1" t="n"/>
      <c r="V17" s="1" t="n">
        <v>222000</v>
      </c>
      <c r="W17" s="1" t="n">
        <v>15600</v>
      </c>
      <c r="X17" s="1" t="n">
        <v>659300</v>
      </c>
      <c r="Y17" s="1" t="n">
        <v>0.3206462637874786</v>
      </c>
      <c r="Z17" s="1" t="n"/>
      <c r="AA17" s="1" t="n">
        <v>0.023</v>
      </c>
      <c r="AB17" s="1" t="n">
        <v>-0.092</v>
      </c>
      <c r="AC17" s="1" t="n">
        <v>0.089</v>
      </c>
      <c r="AD17" s="1" t="n">
        <v>0.6353591160220994</v>
      </c>
      <c r="AE17" s="1" t="n"/>
      <c r="AF17" s="1" t="n">
        <v>0.003</v>
      </c>
      <c r="AG17" s="1" t="n">
        <v>-0.012</v>
      </c>
      <c r="AH17" s="1" t="n">
        <v>0.096</v>
      </c>
      <c r="AI17" s="1" t="n">
        <v>0.1388888888888889</v>
      </c>
      <c r="AJ17" s="1" t="n">
        <v>0.8611111111111112</v>
      </c>
      <c r="AK17" s="1" t="n"/>
      <c r="AL17" s="1" t="n">
        <v>229.4070006269592</v>
      </c>
      <c r="AM17" s="1" t="n">
        <v>164.1204356189602</v>
      </c>
      <c r="AN17" s="1" t="n">
        <v>840.9842519685039</v>
      </c>
      <c r="AO17" s="1" t="n">
        <v>0.09645450595970986</v>
      </c>
      <c r="AP17" s="1" t="n">
        <v>0.9035454940402902</v>
      </c>
      <c r="AQ17" s="1" t="n"/>
      <c r="AR17" s="1" t="n">
        <v>872.4299999999999</v>
      </c>
      <c r="AS17" s="1" t="n">
        <v>582.9</v>
      </c>
      <c r="AT17" s="1" t="n">
        <v>1212.48</v>
      </c>
      <c r="AU17" s="1" t="n">
        <v>0.4598780139140379</v>
      </c>
      <c r="AW17" s="1" t="n">
        <v>0.1420241352032411</v>
      </c>
      <c r="AX17" s="1" t="n">
        <v>0.5900686740623349</v>
      </c>
      <c r="AY17" s="1" t="n">
        <v>0.4598780139140379</v>
      </c>
      <c r="AZ17" s="1" t="n">
        <v>0.7482351135666053</v>
      </c>
      <c r="BA17" s="1" t="n">
        <v>0.384812726489038</v>
      </c>
    </row>
    <row r="18">
      <c r="A18" s="1" t="n">
        <v>108600</v>
      </c>
      <c r="B18" s="1" t="n">
        <v>12000</v>
      </c>
      <c r="C18" s="1" t="n">
        <v>579900</v>
      </c>
      <c r="D18" s="1" t="n">
        <v>0.1701003697834126</v>
      </c>
      <c r="E18" s="1" t="n"/>
      <c r="F18" s="1" t="n">
        <v>275000</v>
      </c>
      <c r="G18" s="1" t="n">
        <v>100000</v>
      </c>
      <c r="H18" s="1" t="n">
        <v>1789900</v>
      </c>
      <c r="I18" s="1" t="n">
        <v>0.1035564234570093</v>
      </c>
      <c r="J18" s="1" t="n"/>
      <c r="K18" s="1" t="n">
        <v>24500</v>
      </c>
      <c r="L18" s="1" t="n">
        <v>19600</v>
      </c>
      <c r="M18" s="1" t="n">
        <v>468100</v>
      </c>
      <c r="N18" s="1" t="n">
        <v>0.01092530657748049</v>
      </c>
      <c r="O18" s="1" t="n"/>
      <c r="P18" s="1" t="n">
        <v>100</v>
      </c>
      <c r="Q18" s="1" t="n">
        <v>0</v>
      </c>
      <c r="R18" s="1" t="n">
        <v>151900</v>
      </c>
      <c r="S18" s="1" t="n">
        <v>0.0006583278472679394</v>
      </c>
      <c r="T18" s="1" t="n">
        <v>0.9993416721527321</v>
      </c>
      <c r="U18" s="1" t="n"/>
      <c r="V18" s="1" t="n">
        <v>230000</v>
      </c>
      <c r="W18" s="1" t="n">
        <v>15600</v>
      </c>
      <c r="X18" s="1" t="n">
        <v>659300</v>
      </c>
      <c r="Y18" s="1" t="n">
        <v>0.3330744135466832</v>
      </c>
      <c r="Z18" s="1" t="n"/>
      <c r="AA18" s="1" t="n">
        <v>-0.092</v>
      </c>
      <c r="AB18" s="1" t="n">
        <v>-0.092</v>
      </c>
      <c r="AC18" s="1" t="n">
        <v>0.089</v>
      </c>
      <c r="AD18" s="1" t="n">
        <v>0</v>
      </c>
      <c r="AE18" s="1" t="n"/>
      <c r="AF18" s="1" t="n">
        <v>-0.012</v>
      </c>
      <c r="AG18" s="1" t="n">
        <v>-0.012</v>
      </c>
      <c r="AH18" s="1" t="n">
        <v>0.096</v>
      </c>
      <c r="AI18" s="1" t="n">
        <v>0</v>
      </c>
      <c r="AJ18" s="1" t="n">
        <v>1</v>
      </c>
      <c r="AK18" s="1" t="n"/>
      <c r="AL18" s="1" t="n">
        <v>177.3695252059308</v>
      </c>
      <c r="AM18" s="1" t="n">
        <v>164.1204356189602</v>
      </c>
      <c r="AN18" s="1" t="n">
        <v>840.9842519685039</v>
      </c>
      <c r="AO18" s="1" t="n">
        <v>0.01957423231518787</v>
      </c>
      <c r="AP18" s="1" t="n">
        <v>0.9804257676848122</v>
      </c>
      <c r="AQ18" s="1" t="n"/>
      <c r="AR18" s="1" t="n">
        <v>722.42</v>
      </c>
      <c r="AS18" s="1" t="n">
        <v>582.9</v>
      </c>
      <c r="AT18" s="1" t="n">
        <v>1212.48</v>
      </c>
      <c r="AU18" s="1" t="n">
        <v>0.221608056164427</v>
      </c>
      <c r="AW18" s="1" t="n">
        <v>0.1488472758600858</v>
      </c>
      <c r="AX18" s="1" t="n">
        <v>0.5847210209680723</v>
      </c>
      <c r="AY18" s="1" t="n">
        <v>0.221608056164427</v>
      </c>
      <c r="AZ18" s="1" t="n">
        <v>0.5</v>
      </c>
      <c r="BA18" s="1" t="n">
        <v>0.3377489299641487</v>
      </c>
    </row>
    <row r="19">
      <c r="A19" s="1" t="n">
        <v>105500</v>
      </c>
      <c r="B19" s="1" t="n">
        <v>12000</v>
      </c>
      <c r="C19" s="1" t="n">
        <v>579900</v>
      </c>
      <c r="D19" s="1" t="n">
        <v>0.1646416622644832</v>
      </c>
      <c r="E19" s="1" t="n"/>
      <c r="F19" s="1" t="n">
        <v>232000</v>
      </c>
      <c r="G19" s="1" t="n">
        <v>100000</v>
      </c>
      <c r="H19" s="1" t="n">
        <v>1789900</v>
      </c>
      <c r="I19" s="1" t="n">
        <v>0.07811113083614415</v>
      </c>
      <c r="J19" s="1" t="n"/>
      <c r="K19" s="1" t="n">
        <v>24500</v>
      </c>
      <c r="L19" s="1" t="n">
        <v>19600</v>
      </c>
      <c r="M19" s="1" t="n">
        <v>468100</v>
      </c>
      <c r="N19" s="1" t="n">
        <v>0.01092530657748049</v>
      </c>
      <c r="O19" s="1" t="n"/>
      <c r="P19" s="1" t="n">
        <v>0</v>
      </c>
      <c r="Q19" s="1" t="n">
        <v>0</v>
      </c>
      <c r="R19" s="1" t="n">
        <v>151900</v>
      </c>
      <c r="S19" s="1" t="n">
        <v>0</v>
      </c>
      <c r="T19" s="1" t="n">
        <v>1</v>
      </c>
      <c r="U19" s="1" t="n"/>
      <c r="V19" s="1" t="n">
        <v>175000</v>
      </c>
      <c r="W19" s="1" t="n">
        <v>15600</v>
      </c>
      <c r="X19" s="1" t="n">
        <v>659300</v>
      </c>
      <c r="Y19" s="1" t="n">
        <v>0.2476308839521516</v>
      </c>
      <c r="Z19" s="1" t="n"/>
      <c r="AA19" s="1" t="n">
        <v>0.08699999999999999</v>
      </c>
      <c r="AB19" s="1" t="n">
        <v>-0.092</v>
      </c>
      <c r="AC19" s="1" t="n">
        <v>0.089</v>
      </c>
      <c r="AD19" s="1" t="n">
        <v>0.988950276243094</v>
      </c>
      <c r="AE19" s="1" t="n"/>
      <c r="AF19" s="1" t="n">
        <v>0.012</v>
      </c>
      <c r="AG19" s="1" t="n">
        <v>-0.012</v>
      </c>
      <c r="AH19" s="1" t="n">
        <v>0.096</v>
      </c>
      <c r="AI19" s="1" t="n">
        <v>0.2222222222222222</v>
      </c>
      <c r="AJ19" s="1" t="n">
        <v>0.7777777777777778</v>
      </c>
      <c r="AK19" s="1" t="n"/>
      <c r="AL19" s="1" t="n">
        <v>260.5705895121952</v>
      </c>
      <c r="AM19" s="1" t="n">
        <v>164.1204356189602</v>
      </c>
      <c r="AN19" s="1" t="n">
        <v>840.9842519685039</v>
      </c>
      <c r="AO19" s="1" t="n">
        <v>0.1424956565316331</v>
      </c>
      <c r="AP19" s="1" t="n">
        <v>0.8575043434683669</v>
      </c>
      <c r="AQ19" s="1" t="n"/>
      <c r="AR19" s="1" t="n">
        <v>900.71</v>
      </c>
      <c r="AS19" s="1" t="n">
        <v>582.9</v>
      </c>
      <c r="AT19" s="1" t="n">
        <v>1212.48</v>
      </c>
      <c r="AU19" s="1" t="n">
        <v>0.5047968486927794</v>
      </c>
      <c r="AW19" s="1" t="n">
        <v>0.1119679717683979</v>
      </c>
      <c r="AX19" s="1" t="n">
        <v>0.5823208311322415</v>
      </c>
      <c r="AY19" s="1" t="n">
        <v>0.5047968486927794</v>
      </c>
      <c r="AZ19" s="1" t="n">
        <v>0.8833640270104359</v>
      </c>
      <c r="BA19" s="1" t="n">
        <v>0.3786748908988117</v>
      </c>
    </row>
    <row r="20">
      <c r="A20" s="1" t="n">
        <v>96500</v>
      </c>
      <c r="B20" s="1" t="n">
        <v>12000</v>
      </c>
      <c r="C20" s="1" t="n">
        <v>579900</v>
      </c>
      <c r="D20" s="1" t="n">
        <v>0.1487938017256559</v>
      </c>
      <c r="E20" s="1" t="n"/>
      <c r="F20" s="1" t="n">
        <v>345000</v>
      </c>
      <c r="G20" s="1" t="n">
        <v>100000</v>
      </c>
      <c r="H20" s="1" t="n">
        <v>1789900</v>
      </c>
      <c r="I20" s="1" t="n">
        <v>0.144978992839813</v>
      </c>
      <c r="J20" s="1" t="n"/>
      <c r="K20" s="1" t="n">
        <v>23300</v>
      </c>
      <c r="L20" s="1" t="n">
        <v>19600</v>
      </c>
      <c r="M20" s="1" t="n">
        <v>468100</v>
      </c>
      <c r="N20" s="1" t="n">
        <v>0.008249721293199555</v>
      </c>
      <c r="O20" s="1" t="n"/>
      <c r="P20" s="1" t="n">
        <v>200</v>
      </c>
      <c r="Q20" s="1" t="n">
        <v>0</v>
      </c>
      <c r="R20" s="1" t="n">
        <v>151900</v>
      </c>
      <c r="S20" s="1" t="n">
        <v>0.001316655694535879</v>
      </c>
      <c r="T20" s="1" t="n">
        <v>0.9986833443054641</v>
      </c>
      <c r="U20" s="1" t="n"/>
      <c r="V20" s="1" t="n">
        <v>325000</v>
      </c>
      <c r="W20" s="1" t="n">
        <v>15600</v>
      </c>
      <c r="X20" s="1" t="n">
        <v>659300</v>
      </c>
      <c r="Y20" s="1" t="n">
        <v>0.4806586919372379</v>
      </c>
      <c r="Z20" s="1" t="n"/>
      <c r="AA20" s="1" t="n">
        <v>0.055</v>
      </c>
      <c r="AB20" s="1" t="n">
        <v>-0.092</v>
      </c>
      <c r="AC20" s="1" t="n">
        <v>0.089</v>
      </c>
      <c r="AD20" s="1" t="n">
        <v>0.8121546961325967</v>
      </c>
      <c r="AE20" s="1" t="n"/>
      <c r="AF20" s="1" t="n">
        <v>0.096</v>
      </c>
      <c r="AG20" s="1" t="n">
        <v>-0.012</v>
      </c>
      <c r="AH20" s="1" t="n">
        <v>0.096</v>
      </c>
      <c r="AI20" s="1" t="n">
        <v>1</v>
      </c>
      <c r="AJ20" s="1" t="n">
        <v>0</v>
      </c>
      <c r="AK20" s="1" t="n"/>
      <c r="AL20" s="1" t="n">
        <v>312.265616302187</v>
      </c>
      <c r="AM20" s="1" t="n">
        <v>164.1204356189602</v>
      </c>
      <c r="AN20" s="1" t="n">
        <v>840.9842519685039</v>
      </c>
      <c r="AO20" s="1" t="n">
        <v>0.2188699958615045</v>
      </c>
      <c r="AP20" s="1" t="n">
        <v>0.7811300041384955</v>
      </c>
      <c r="AQ20" s="1" t="n"/>
      <c r="AR20" s="1" t="n">
        <v>749.6</v>
      </c>
      <c r="AS20" s="1" t="n">
        <v>582.9</v>
      </c>
      <c r="AT20" s="1" t="n">
        <v>1212.48</v>
      </c>
      <c r="AU20" s="1" t="n">
        <v>0.2647796943994409</v>
      </c>
      <c r="AW20" s="1" t="n">
        <v>0.2108061400824406</v>
      </c>
      <c r="AX20" s="1" t="n">
        <v>0.57373857301556</v>
      </c>
      <c r="AY20" s="1" t="n">
        <v>0.2647796943994409</v>
      </c>
      <c r="AZ20" s="1" t="n">
        <v>0.4060773480662985</v>
      </c>
      <c r="BA20" s="1" t="n">
        <v>0.3667738241190884</v>
      </c>
    </row>
    <row r="21">
      <c r="A21" s="1" t="n">
        <v>90500</v>
      </c>
      <c r="B21" s="1" t="n">
        <v>12000</v>
      </c>
      <c r="C21" s="1" t="n">
        <v>579900</v>
      </c>
      <c r="D21" s="1" t="n">
        <v>0.1382285613664377</v>
      </c>
      <c r="E21" s="1" t="n"/>
      <c r="F21" s="1" t="n">
        <v>175000</v>
      </c>
      <c r="G21" s="1" t="n">
        <v>100000</v>
      </c>
      <c r="H21" s="1" t="n">
        <v>1789900</v>
      </c>
      <c r="I21" s="1" t="n">
        <v>0.04438132433871827</v>
      </c>
      <c r="J21" s="1" t="n"/>
      <c r="K21" s="1" t="n">
        <v>19600</v>
      </c>
      <c r="L21" s="1" t="n">
        <v>19600</v>
      </c>
      <c r="M21" s="1" t="n">
        <v>468100</v>
      </c>
      <c r="N21" s="1" t="n">
        <v>0</v>
      </c>
      <c r="O21" s="1" t="n"/>
      <c r="P21" s="1" t="n">
        <v>300</v>
      </c>
      <c r="Q21" s="1" t="n">
        <v>0</v>
      </c>
      <c r="R21" s="1" t="n">
        <v>151900</v>
      </c>
      <c r="S21" s="1" t="n">
        <v>0.001974983541803818</v>
      </c>
      <c r="T21" s="1" t="n">
        <v>0.9980250164581962</v>
      </c>
      <c r="U21" s="1" t="n"/>
      <c r="V21" s="1" t="n">
        <v>110000</v>
      </c>
      <c r="W21" s="1" t="n">
        <v>15600</v>
      </c>
      <c r="X21" s="1" t="n">
        <v>659300</v>
      </c>
      <c r="Y21" s="1" t="n">
        <v>0.1466521671586143</v>
      </c>
      <c r="Z21" s="1" t="n"/>
      <c r="AA21" s="1" t="n">
        <v>0.021</v>
      </c>
      <c r="AB21" s="1" t="n">
        <v>-0.092</v>
      </c>
      <c r="AC21" s="1" t="n">
        <v>0.089</v>
      </c>
      <c r="AD21" s="1" t="n">
        <v>0.6243093922651934</v>
      </c>
      <c r="AE21" s="1" t="n"/>
      <c r="AF21" s="1" t="n">
        <v>0.035</v>
      </c>
      <c r="AG21" s="1" t="n">
        <v>-0.012</v>
      </c>
      <c r="AH21" s="1" t="n">
        <v>0.096</v>
      </c>
      <c r="AI21" s="1" t="n">
        <v>0.4351851851851852</v>
      </c>
      <c r="AJ21" s="1" t="n">
        <v>0.5648148148148149</v>
      </c>
      <c r="AK21" s="1" t="n"/>
      <c r="AL21" s="1" t="n">
        <v>549.1366097323603</v>
      </c>
      <c r="AM21" s="1" t="n">
        <v>164.1204356189602</v>
      </c>
      <c r="AN21" s="1" t="n">
        <v>840.9842519685039</v>
      </c>
      <c r="AO21" s="1" t="n">
        <v>0.568823690694335</v>
      </c>
      <c r="AP21" s="1" t="n">
        <v>0.431176309305665</v>
      </c>
      <c r="AQ21" s="1" t="n"/>
      <c r="AR21" s="1" t="n">
        <v>838.6799999999999</v>
      </c>
      <c r="AS21" s="1" t="n">
        <v>582.9</v>
      </c>
      <c r="AT21" s="1" t="n">
        <v>1212.48</v>
      </c>
      <c r="AU21" s="1" t="n">
        <v>0.4062708472314876</v>
      </c>
      <c r="AW21" s="1" t="n">
        <v>0.06353915579284569</v>
      </c>
      <c r="AX21" s="1" t="n">
        <v>0.5681267889123169</v>
      </c>
      <c r="AY21" s="1" t="n">
        <v>0.4062708472314876</v>
      </c>
      <c r="AZ21" s="1" t="n">
        <v>0.5945621035400042</v>
      </c>
      <c r="BA21" s="1" t="n">
        <v>0.3339205473283626</v>
      </c>
    </row>
    <row r="22">
      <c r="A22" s="1" t="n">
        <v>110000</v>
      </c>
      <c r="B22" s="1" t="n">
        <v>12000</v>
      </c>
      <c r="C22" s="1" t="n">
        <v>579900</v>
      </c>
      <c r="D22" s="1" t="n">
        <v>0.1725655925338968</v>
      </c>
      <c r="E22" s="1" t="n"/>
      <c r="F22" s="1" t="n">
        <v>250000</v>
      </c>
      <c r="G22" s="1" t="n">
        <v>100000</v>
      </c>
      <c r="H22" s="1" t="n">
        <v>1789900</v>
      </c>
      <c r="I22" s="1" t="n">
        <v>0.08876264867743654</v>
      </c>
      <c r="J22" s="1" t="n"/>
      <c r="K22" s="1" t="n">
        <v>20000</v>
      </c>
      <c r="L22" s="1" t="n">
        <v>19600</v>
      </c>
      <c r="M22" s="1" t="n">
        <v>468100</v>
      </c>
      <c r="N22" s="1" t="n">
        <v>0.0008918617614269788</v>
      </c>
      <c r="O22" s="1" t="n"/>
      <c r="P22" s="1" t="n">
        <v>0</v>
      </c>
      <c r="Q22" s="1" t="n">
        <v>0</v>
      </c>
      <c r="R22" s="1" t="n">
        <v>151900</v>
      </c>
      <c r="S22" s="1" t="n">
        <v>0</v>
      </c>
      <c r="T22" s="1" t="n">
        <v>1</v>
      </c>
      <c r="U22" s="1" t="n"/>
      <c r="V22" s="1" t="n">
        <v>238500</v>
      </c>
      <c r="W22" s="1" t="n">
        <v>15600</v>
      </c>
      <c r="X22" s="1" t="n">
        <v>659300</v>
      </c>
      <c r="Y22" s="1" t="n">
        <v>0.3462793226658381</v>
      </c>
      <c r="Z22" s="1" t="n"/>
      <c r="AA22" s="1" t="n">
        <v>0.021</v>
      </c>
      <c r="AB22" s="1" t="n">
        <v>-0.092</v>
      </c>
      <c r="AC22" s="1" t="n">
        <v>0.089</v>
      </c>
      <c r="AD22" s="1" t="n">
        <v>0.6243093922651934</v>
      </c>
      <c r="AE22" s="1" t="n"/>
      <c r="AF22" s="1" t="n">
        <v>0.027</v>
      </c>
      <c r="AG22" s="1" t="n">
        <v>-0.012</v>
      </c>
      <c r="AH22" s="1" t="n">
        <v>0.096</v>
      </c>
      <c r="AI22" s="1" t="n">
        <v>0.3611111111111111</v>
      </c>
      <c r="AJ22" s="1" t="n">
        <v>0.6388888888888888</v>
      </c>
      <c r="AK22" s="1" t="n"/>
      <c r="AL22" s="1" t="n">
        <v>652.3239278378377</v>
      </c>
      <c r="AM22" s="1" t="n">
        <v>164.1204356189602</v>
      </c>
      <c r="AN22" s="1" t="n">
        <v>840.9842519685039</v>
      </c>
      <c r="AO22" s="1" t="n">
        <v>0.7212728475453932</v>
      </c>
      <c r="AP22" s="1" t="n">
        <v>0.2787271524546068</v>
      </c>
      <c r="AQ22" s="1" t="n"/>
      <c r="AR22" s="1" t="n">
        <v>705.26</v>
      </c>
      <c r="AS22" s="1" t="n">
        <v>582.9</v>
      </c>
      <c r="AT22" s="1" t="n">
        <v>1212.48</v>
      </c>
      <c r="AU22" s="1" t="n">
        <v>0.1943517900822771</v>
      </c>
      <c r="AW22" s="1" t="n">
        <v>0.1448699709807228</v>
      </c>
      <c r="AX22" s="1" t="n">
        <v>0.5862827962669483</v>
      </c>
      <c r="AY22" s="1" t="n">
        <v>0.1943517900822771</v>
      </c>
      <c r="AZ22" s="1" t="n">
        <v>0.6315991405770411</v>
      </c>
      <c r="BA22" s="1" t="n">
        <v>0.3313314649155239</v>
      </c>
    </row>
    <row r="23">
      <c r="A23" s="1" t="n">
        <v>417300</v>
      </c>
      <c r="B23" s="1" t="n">
        <v>12000</v>
      </c>
      <c r="C23" s="1" t="n">
        <v>579900</v>
      </c>
      <c r="D23" s="1" t="n">
        <v>0.7136819862651875</v>
      </c>
      <c r="E23" s="1" t="n"/>
      <c r="F23" s="1" t="n">
        <v>173600</v>
      </c>
      <c r="G23" s="1" t="n">
        <v>100000</v>
      </c>
      <c r="H23" s="1" t="n">
        <v>1789900</v>
      </c>
      <c r="I23" s="1" t="n">
        <v>0.04355287295106219</v>
      </c>
      <c r="J23" s="1" t="n"/>
      <c r="K23" s="1" t="n">
        <v>197000</v>
      </c>
      <c r="L23" s="1" t="n">
        <v>19600</v>
      </c>
      <c r="M23" s="1" t="n">
        <v>468100</v>
      </c>
      <c r="N23" s="1" t="n">
        <v>0.3955406911928651</v>
      </c>
      <c r="O23" s="1" t="n"/>
      <c r="P23" s="1" t="n">
        <v>48600</v>
      </c>
      <c r="Q23" s="1" t="n">
        <v>0</v>
      </c>
      <c r="R23" s="1" t="n">
        <v>151900</v>
      </c>
      <c r="S23" s="1" t="n">
        <v>0.3199473337722186</v>
      </c>
      <c r="T23" s="1" t="n">
        <v>0.6800526662277815</v>
      </c>
      <c r="U23" s="1" t="n"/>
      <c r="V23" s="1" t="n">
        <v>40000</v>
      </c>
      <c r="W23" s="1" t="n">
        <v>15600</v>
      </c>
      <c r="X23" s="1" t="n">
        <v>659300</v>
      </c>
      <c r="Y23" s="1" t="n">
        <v>0.03790585676557402</v>
      </c>
      <c r="Z23" s="1" t="n"/>
      <c r="AA23" s="1" t="n">
        <v>0.008999999999999999</v>
      </c>
      <c r="AB23" s="1" t="n">
        <v>-0.092</v>
      </c>
      <c r="AC23" s="1" t="n">
        <v>0.089</v>
      </c>
      <c r="AD23" s="1" t="n">
        <v>0.5580110497237569</v>
      </c>
      <c r="AE23" s="1" t="n"/>
      <c r="AF23" s="1" t="n">
        <v>0.011</v>
      </c>
      <c r="AG23" s="1" t="n">
        <v>-0.012</v>
      </c>
      <c r="AH23" s="1" t="n">
        <v>0.096</v>
      </c>
      <c r="AI23" s="1" t="n">
        <v>0.212962962962963</v>
      </c>
      <c r="AJ23" s="1" t="n">
        <v>0.787037037037037</v>
      </c>
      <c r="AK23" s="1" t="n"/>
      <c r="AL23" s="1" t="n">
        <v>316.12</v>
      </c>
      <c r="AM23" s="1" t="n">
        <v>164.1204356189602</v>
      </c>
      <c r="AN23" s="1" t="n">
        <v>840.9842519685039</v>
      </c>
      <c r="AO23" s="1" t="n">
        <v>0.2245644702959638</v>
      </c>
      <c r="AP23" s="1" t="n">
        <v>0.7754355297040362</v>
      </c>
      <c r="AQ23" s="1" t="n"/>
      <c r="AR23" s="1" t="n">
        <v>1212.48</v>
      </c>
      <c r="AS23" s="1" t="n">
        <v>582.9</v>
      </c>
      <c r="AT23" s="1" t="n">
        <v>1212.48</v>
      </c>
      <c r="AU23" s="1" t="n">
        <v>1</v>
      </c>
      <c r="AW23" s="1" t="n">
        <v>0.1576590462620376</v>
      </c>
      <c r="AX23" s="1" t="n">
        <v>0.6968673262464845</v>
      </c>
      <c r="AY23" s="1" t="n">
        <v>1</v>
      </c>
      <c r="AZ23" s="1" t="n">
        <v>0.672524043380397</v>
      </c>
      <c r="BA23" s="1" t="n">
        <v>0.5418105490034089</v>
      </c>
    </row>
    <row r="24">
      <c r="A24" s="1" t="n">
        <v>407600</v>
      </c>
      <c r="B24" s="1" t="n">
        <v>12000</v>
      </c>
      <c r="C24" s="1" t="n">
        <v>579900</v>
      </c>
      <c r="D24" s="1" t="n">
        <v>0.6966015143511182</v>
      </c>
      <c r="E24" s="1" t="n"/>
      <c r="F24" s="1" t="n">
        <v>366500</v>
      </c>
      <c r="G24" s="1" t="n">
        <v>100000</v>
      </c>
      <c r="H24" s="1" t="n">
        <v>1789900</v>
      </c>
      <c r="I24" s="1" t="n">
        <v>0.1577016391502456</v>
      </c>
      <c r="J24" s="1" t="n"/>
      <c r="K24" s="1" t="n">
        <v>80200</v>
      </c>
      <c r="L24" s="1" t="n">
        <v>19600</v>
      </c>
      <c r="M24" s="1" t="n">
        <v>468100</v>
      </c>
      <c r="N24" s="1" t="n">
        <v>0.1351170568561873</v>
      </c>
      <c r="O24" s="1" t="n"/>
      <c r="P24" s="1" t="n">
        <v>81800</v>
      </c>
      <c r="Q24" s="1" t="n">
        <v>0</v>
      </c>
      <c r="R24" s="1" t="n">
        <v>151900</v>
      </c>
      <c r="S24" s="1" t="n">
        <v>0.5385121790651745</v>
      </c>
      <c r="T24" s="1" t="n">
        <v>0.4614878209348255</v>
      </c>
      <c r="U24" s="1" t="n"/>
      <c r="V24" s="1" t="n">
        <v>60000</v>
      </c>
      <c r="W24" s="1" t="n">
        <v>15600</v>
      </c>
      <c r="X24" s="1" t="n">
        <v>659300</v>
      </c>
      <c r="Y24" s="1" t="n">
        <v>0.06897623116358552</v>
      </c>
      <c r="Z24" s="1" t="n"/>
      <c r="AA24" s="1" t="n">
        <v>0.006</v>
      </c>
      <c r="AB24" s="1" t="n">
        <v>-0.092</v>
      </c>
      <c r="AC24" s="1" t="n">
        <v>0.089</v>
      </c>
      <c r="AD24" s="1" t="n">
        <v>0.5414364640883979</v>
      </c>
      <c r="AE24" s="1" t="n"/>
      <c r="AF24" s="1" t="n">
        <v>0.006</v>
      </c>
      <c r="AG24" s="1" t="n">
        <v>-0.012</v>
      </c>
      <c r="AH24" s="1" t="n">
        <v>0.096</v>
      </c>
      <c r="AI24" s="1" t="n">
        <v>0.1666666666666667</v>
      </c>
      <c r="AJ24" s="1" t="n">
        <v>0.8333333333333333</v>
      </c>
      <c r="AK24" s="1" t="n"/>
      <c r="AL24" s="1" t="n">
        <v>288.0784981386394</v>
      </c>
      <c r="AM24" s="1" t="n">
        <v>164.1204356189602</v>
      </c>
      <c r="AN24" s="1" t="n">
        <v>840.9842519685039</v>
      </c>
      <c r="AO24" s="1" t="n">
        <v>0.1831358975402301</v>
      </c>
      <c r="AP24" s="1" t="n">
        <v>0.8168641024597699</v>
      </c>
      <c r="AQ24" s="1" t="n"/>
      <c r="AR24" s="1" t="n">
        <v>1170.85</v>
      </c>
      <c r="AS24" s="1" t="n">
        <v>582.9</v>
      </c>
      <c r="AT24" s="1" t="n">
        <v>1212.48</v>
      </c>
      <c r="AU24" s="1" t="n">
        <v>0.933876552622383</v>
      </c>
      <c r="AW24" s="1" t="n">
        <v>0.1209542763523147</v>
      </c>
      <c r="AX24" s="1" t="n">
        <v>0.5790446676429719</v>
      </c>
      <c r="AY24" s="1" t="n">
        <v>0.933876552622383</v>
      </c>
      <c r="AZ24" s="1" t="n">
        <v>0.6873848987108656</v>
      </c>
      <c r="BA24" s="1" t="n">
        <v>0.4667748881225913</v>
      </c>
    </row>
    <row r="25">
      <c r="A25" s="1" t="n">
        <v>421900</v>
      </c>
      <c r="B25" s="1" t="n">
        <v>12000</v>
      </c>
      <c r="C25" s="1" t="n">
        <v>579900</v>
      </c>
      <c r="D25" s="1" t="n">
        <v>0.7217820038739214</v>
      </c>
      <c r="E25" s="1" t="n"/>
      <c r="F25" s="1" t="n">
        <v>273500</v>
      </c>
      <c r="G25" s="1" t="n">
        <v>100000</v>
      </c>
      <c r="H25" s="1" t="n">
        <v>1789900</v>
      </c>
      <c r="I25" s="1" t="n">
        <v>0.1026687969702349</v>
      </c>
      <c r="J25" s="1" t="n"/>
      <c r="K25" s="1" t="n">
        <v>76100</v>
      </c>
      <c r="L25" s="1" t="n">
        <v>19600</v>
      </c>
      <c r="M25" s="1" t="n">
        <v>468100</v>
      </c>
      <c r="N25" s="1" t="n">
        <v>0.1259754738015608</v>
      </c>
      <c r="O25" s="1" t="n"/>
      <c r="P25" s="1" t="n">
        <v>51200</v>
      </c>
      <c r="Q25" s="1" t="n">
        <v>0</v>
      </c>
      <c r="R25" s="1" t="n">
        <v>151900</v>
      </c>
      <c r="S25" s="1" t="n">
        <v>0.337063857801185</v>
      </c>
      <c r="T25" s="1" t="n">
        <v>0.662936142198815</v>
      </c>
      <c r="U25" s="1" t="n"/>
      <c r="V25" s="1" t="n">
        <v>83000</v>
      </c>
      <c r="W25" s="1" t="n">
        <v>15600</v>
      </c>
      <c r="X25" s="1" t="n">
        <v>659300</v>
      </c>
      <c r="Y25" s="1" t="n">
        <v>0.1047071617212987</v>
      </c>
      <c r="Z25" s="1" t="n"/>
      <c r="AA25" s="1" t="n">
        <v>-0.089</v>
      </c>
      <c r="AB25" s="1" t="n">
        <v>-0.092</v>
      </c>
      <c r="AC25" s="1" t="n">
        <v>0.089</v>
      </c>
      <c r="AD25" s="1" t="n">
        <v>0.01657458563535913</v>
      </c>
      <c r="AE25" s="1" t="n"/>
      <c r="AF25" s="1" t="n">
        <v>-0.001</v>
      </c>
      <c r="AG25" s="1" t="n">
        <v>-0.012</v>
      </c>
      <c r="AH25" s="1" t="n">
        <v>0.096</v>
      </c>
      <c r="AI25" s="1" t="n">
        <v>0.1018518518518518</v>
      </c>
      <c r="AJ25" s="1" t="n">
        <v>0.8981481481481481</v>
      </c>
      <c r="AK25" s="1" t="n"/>
      <c r="AL25" s="1" t="n">
        <v>226.2265293093095</v>
      </c>
      <c r="AM25" s="1" t="n">
        <v>164.1204356189602</v>
      </c>
      <c r="AN25" s="1" t="n">
        <v>840.9842519685039</v>
      </c>
      <c r="AO25" s="1" t="n">
        <v>0.09175567106733425</v>
      </c>
      <c r="AP25" s="1" t="n">
        <v>0.9082443289326657</v>
      </c>
      <c r="AQ25" s="1" t="n"/>
      <c r="AR25" s="1" t="n">
        <v>981.35</v>
      </c>
      <c r="AS25" s="1" t="n">
        <v>582.9</v>
      </c>
      <c r="AT25" s="1" t="n">
        <v>1212.48</v>
      </c>
      <c r="AU25" s="1" t="n">
        <v>0.6328822389529528</v>
      </c>
      <c r="AW25" s="1" t="n">
        <v>0.1110210571225281</v>
      </c>
      <c r="AX25" s="1" t="n">
        <v>0.6923590730363682</v>
      </c>
      <c r="AY25" s="1" t="n">
        <v>0.6328822389529528</v>
      </c>
      <c r="AZ25" s="1" t="n">
        <v>0.4573613668917537</v>
      </c>
      <c r="BA25" s="1" t="n">
        <v>0.4479284998541491</v>
      </c>
    </row>
    <row r="26">
      <c r="A26" s="1" t="n">
        <v>457100</v>
      </c>
      <c r="B26" s="1" t="n">
        <v>12000</v>
      </c>
      <c r="C26" s="1" t="n">
        <v>579900</v>
      </c>
      <c r="D26" s="1" t="n">
        <v>0.7837647473146681</v>
      </c>
      <c r="E26" s="1" t="n"/>
      <c r="F26" s="1" t="n">
        <v>329000</v>
      </c>
      <c r="G26" s="1" t="n">
        <v>100000</v>
      </c>
      <c r="H26" s="1" t="n">
        <v>1789900</v>
      </c>
      <c r="I26" s="1" t="n">
        <v>0.1355109769808864</v>
      </c>
      <c r="J26" s="1" t="n"/>
      <c r="K26" s="1" t="n">
        <v>72700</v>
      </c>
      <c r="L26" s="1" t="n">
        <v>19600</v>
      </c>
      <c r="M26" s="1" t="n">
        <v>468100</v>
      </c>
      <c r="N26" s="1" t="n">
        <v>0.1183946488294314</v>
      </c>
      <c r="O26" s="1" t="n"/>
      <c r="P26" s="1" t="n">
        <v>51500</v>
      </c>
      <c r="Q26" s="1" t="n">
        <v>0</v>
      </c>
      <c r="R26" s="1" t="n">
        <v>151900</v>
      </c>
      <c r="S26" s="1" t="n">
        <v>0.3390388413429888</v>
      </c>
      <c r="T26" s="1" t="n">
        <v>0.6609611586570112</v>
      </c>
      <c r="U26" s="1" t="n"/>
      <c r="V26" s="1" t="n">
        <v>62500</v>
      </c>
      <c r="W26" s="1" t="n">
        <v>15600</v>
      </c>
      <c r="X26" s="1" t="n">
        <v>659300</v>
      </c>
      <c r="Y26" s="1" t="n">
        <v>0.07286002796333696</v>
      </c>
      <c r="Z26" s="1" t="n"/>
      <c r="AA26" s="1" t="n">
        <v>0.089</v>
      </c>
      <c r="AB26" s="1" t="n">
        <v>-0.092</v>
      </c>
      <c r="AC26" s="1" t="n">
        <v>0.089</v>
      </c>
      <c r="AD26" s="1" t="n">
        <v>1</v>
      </c>
      <c r="AE26" s="1" t="n"/>
      <c r="AF26" s="1" t="n">
        <v>0.019</v>
      </c>
      <c r="AG26" s="1" t="n">
        <v>-0.012</v>
      </c>
      <c r="AH26" s="1" t="n">
        <v>0.096</v>
      </c>
      <c r="AI26" s="1" t="n">
        <v>0.287037037037037</v>
      </c>
      <c r="AJ26" s="1" t="n">
        <v>0.712962962962963</v>
      </c>
      <c r="AK26" s="1" t="n"/>
      <c r="AL26" s="1" t="n">
        <v>305.3089123867069</v>
      </c>
      <c r="AM26" s="1" t="n">
        <v>164.1204356189602</v>
      </c>
      <c r="AN26" s="1" t="n">
        <v>840.9842519685039</v>
      </c>
      <c r="AO26" s="1" t="n">
        <v>0.2085921471311663</v>
      </c>
      <c r="AP26" s="1" t="n">
        <v>0.7914078528688337</v>
      </c>
      <c r="AQ26" s="1" t="n"/>
      <c r="AR26" s="1" t="n">
        <v>990.35</v>
      </c>
      <c r="AS26" s="1" t="n">
        <v>582.9</v>
      </c>
      <c r="AT26" s="1" t="n">
        <v>1212.48</v>
      </c>
      <c r="AU26" s="1" t="n">
        <v>0.6471774834016328</v>
      </c>
      <c r="AW26" s="1" t="n">
        <v>0.1091777500181274</v>
      </c>
      <c r="AX26" s="1" t="n">
        <v>0.7223629529858397</v>
      </c>
      <c r="AY26" s="1" t="n">
        <v>0.6471774834016328</v>
      </c>
      <c r="AZ26" s="1" t="n">
        <v>0.8564814814814816</v>
      </c>
      <c r="BA26" s="1" t="n">
        <v>0.4620517778819135</v>
      </c>
    </row>
    <row r="27">
      <c r="A27" s="1" t="n">
        <v>433800</v>
      </c>
      <c r="B27" s="1" t="n">
        <v>12000</v>
      </c>
      <c r="C27" s="1" t="n">
        <v>579900</v>
      </c>
      <c r="D27" s="1" t="n">
        <v>0.7427363972530375</v>
      </c>
      <c r="E27" s="1" t="n"/>
      <c r="F27" s="1" t="n">
        <v>240900</v>
      </c>
      <c r="G27" s="1" t="n">
        <v>100000</v>
      </c>
      <c r="H27" s="1" t="n">
        <v>1789900</v>
      </c>
      <c r="I27" s="1" t="n">
        <v>0.08337771465767205</v>
      </c>
      <c r="J27" s="1" t="n"/>
      <c r="K27" s="1" t="n">
        <v>59000</v>
      </c>
      <c r="L27" s="1" t="n">
        <v>19600</v>
      </c>
      <c r="M27" s="1" t="n">
        <v>468100</v>
      </c>
      <c r="N27" s="1" t="n">
        <v>0.08784838350055742</v>
      </c>
      <c r="O27" s="1" t="n"/>
      <c r="P27" s="1" t="n">
        <v>64599.99999999999</v>
      </c>
      <c r="Q27" s="1" t="n">
        <v>0</v>
      </c>
      <c r="R27" s="1" t="n">
        <v>151900</v>
      </c>
      <c r="S27" s="1" t="n">
        <v>0.4252797893350888</v>
      </c>
      <c r="T27" s="1" t="n">
        <v>0.5747202106649112</v>
      </c>
      <c r="U27" s="1" t="n"/>
      <c r="V27" s="1" t="n">
        <v>67300</v>
      </c>
      <c r="W27" s="1" t="n">
        <v>15600</v>
      </c>
      <c r="X27" s="1" t="n">
        <v>659300</v>
      </c>
      <c r="Y27" s="1" t="n">
        <v>0.08031691781885972</v>
      </c>
      <c r="Z27" s="1" t="n"/>
      <c r="AA27" s="1" t="n">
        <v>0.048</v>
      </c>
      <c r="AB27" s="1" t="n">
        <v>-0.092</v>
      </c>
      <c r="AC27" s="1" t="n">
        <v>0.089</v>
      </c>
      <c r="AD27" s="1" t="n">
        <v>0.7734806629834255</v>
      </c>
      <c r="AE27" s="1" t="n"/>
      <c r="AF27" s="1" t="n">
        <v>0.082</v>
      </c>
      <c r="AG27" s="1" t="n">
        <v>-0.012</v>
      </c>
      <c r="AH27" s="1" t="n">
        <v>0.096</v>
      </c>
      <c r="AI27" s="1" t="n">
        <v>0.8703703703703703</v>
      </c>
      <c r="AJ27" s="1" t="n">
        <v>0.1296296296296297</v>
      </c>
      <c r="AK27" s="1" t="n"/>
      <c r="AL27" s="1" t="n">
        <v>362.2600823045267</v>
      </c>
      <c r="AM27" s="1" t="n">
        <v>164.1204356189602</v>
      </c>
      <c r="AN27" s="1" t="n">
        <v>840.9842519685039</v>
      </c>
      <c r="AO27" s="1" t="n">
        <v>0.2927319231720372</v>
      </c>
      <c r="AP27" s="1" t="n">
        <v>0.7072680768279628</v>
      </c>
      <c r="AQ27" s="1" t="n"/>
      <c r="AR27" s="1" t="n">
        <v>818.17</v>
      </c>
      <c r="AS27" s="1" t="n">
        <v>582.9</v>
      </c>
      <c r="AT27" s="1" t="n">
        <v>1212.48</v>
      </c>
      <c r="AU27" s="1" t="n">
        <v>0.37369357349344</v>
      </c>
      <c r="AW27" s="1" t="n">
        <v>0.08383969975223624</v>
      </c>
      <c r="AX27" s="1" t="n">
        <v>0.6587283039589744</v>
      </c>
      <c r="AY27" s="1" t="n">
        <v>0.37369357349344</v>
      </c>
      <c r="AZ27" s="1" t="n">
        <v>0.4515551463065277</v>
      </c>
      <c r="BA27" s="1" t="n">
        <v>0.3717659161831723</v>
      </c>
    </row>
    <row r="28">
      <c r="A28" s="1" t="n">
        <v>411500</v>
      </c>
      <c r="B28" s="1" t="n">
        <v>12000</v>
      </c>
      <c r="C28" s="1" t="n">
        <v>579900</v>
      </c>
      <c r="D28" s="1" t="n">
        <v>0.70346892058461</v>
      </c>
      <c r="E28" s="1" t="n"/>
      <c r="F28" s="1" t="n">
        <v>328500</v>
      </c>
      <c r="G28" s="1" t="n">
        <v>100000</v>
      </c>
      <c r="H28" s="1" t="n">
        <v>1789900</v>
      </c>
      <c r="I28" s="1" t="n">
        <v>0.135215101485295</v>
      </c>
      <c r="J28" s="1" t="n"/>
      <c r="K28" s="1" t="n">
        <v>55100</v>
      </c>
      <c r="L28" s="1" t="n">
        <v>19600</v>
      </c>
      <c r="M28" s="1" t="n">
        <v>468100</v>
      </c>
      <c r="N28" s="1" t="n">
        <v>0.07915273132664437</v>
      </c>
      <c r="O28" s="1" t="n"/>
      <c r="P28" s="1" t="n">
        <v>68600</v>
      </c>
      <c r="Q28" s="1" t="n">
        <v>0</v>
      </c>
      <c r="R28" s="1" t="n">
        <v>151900</v>
      </c>
      <c r="S28" s="1" t="n">
        <v>0.4516129032258064</v>
      </c>
      <c r="T28" s="1" t="n">
        <v>0.5483870967741935</v>
      </c>
      <c r="U28" s="1" t="n"/>
      <c r="V28" s="1" t="n">
        <v>77400</v>
      </c>
      <c r="W28" s="1" t="n">
        <v>15600</v>
      </c>
      <c r="X28" s="1" t="n">
        <v>659300</v>
      </c>
      <c r="Y28" s="1" t="n">
        <v>0.09600745688985553</v>
      </c>
      <c r="Z28" s="1" t="n"/>
      <c r="AA28" s="1" t="n">
        <v>0.01</v>
      </c>
      <c r="AB28" s="1" t="n">
        <v>-0.092</v>
      </c>
      <c r="AC28" s="1" t="n">
        <v>0.089</v>
      </c>
      <c r="AD28" s="1" t="n">
        <v>0.5635359116022099</v>
      </c>
      <c r="AE28" s="1" t="n"/>
      <c r="AF28" s="1" t="n">
        <v>0.056</v>
      </c>
      <c r="AG28" s="1" t="n">
        <v>-0.012</v>
      </c>
      <c r="AH28" s="1" t="n">
        <v>0.096</v>
      </c>
      <c r="AI28" s="1" t="n">
        <v>0.6296296296296297</v>
      </c>
      <c r="AJ28" s="1" t="n">
        <v>0.3703703703703703</v>
      </c>
      <c r="AK28" s="1" t="n"/>
      <c r="AL28" s="1" t="n">
        <v>594.5806451612904</v>
      </c>
      <c r="AM28" s="1" t="n">
        <v>164.1204356189602</v>
      </c>
      <c r="AN28" s="1" t="n">
        <v>840.9842519685039</v>
      </c>
      <c r="AO28" s="1" t="n">
        <v>0.6359628024790638</v>
      </c>
      <c r="AP28" s="1" t="n">
        <v>0.3640371975209362</v>
      </c>
      <c r="AQ28" s="1" t="n"/>
      <c r="AR28" s="1" t="n">
        <v>1025.37</v>
      </c>
      <c r="AS28" s="1" t="n">
        <v>582.9</v>
      </c>
      <c r="AT28" s="1" t="n">
        <v>1212.48</v>
      </c>
      <c r="AU28" s="1" t="n">
        <v>0.7028018679119411</v>
      </c>
      <c r="AW28" s="1" t="n">
        <v>0.1037935040267321</v>
      </c>
      <c r="AX28" s="1" t="n">
        <v>0.6259280086794017</v>
      </c>
      <c r="AY28" s="1" t="n">
        <v>0.7028018679119411</v>
      </c>
      <c r="AZ28" s="1" t="n">
        <v>0.4669531409862902</v>
      </c>
      <c r="BA28" s="1" t="n">
        <v>0.4324489786648418</v>
      </c>
    </row>
    <row r="29">
      <c r="A29" s="1" t="n">
        <v>395000</v>
      </c>
      <c r="B29" s="1" t="n">
        <v>12000</v>
      </c>
      <c r="C29" s="1" t="n">
        <v>579900</v>
      </c>
      <c r="D29" s="1" t="n">
        <v>0.67441450959676</v>
      </c>
      <c r="E29" s="1" t="n"/>
      <c r="F29" s="1" t="n">
        <v>224000</v>
      </c>
      <c r="G29" s="1" t="n">
        <v>100000</v>
      </c>
      <c r="H29" s="1" t="n">
        <v>1789900</v>
      </c>
      <c r="I29" s="1" t="n">
        <v>0.07337712290668087</v>
      </c>
      <c r="J29" s="1" t="n"/>
      <c r="K29" s="1" t="n">
        <v>60000</v>
      </c>
      <c r="L29" s="1" t="n">
        <v>19600</v>
      </c>
      <c r="M29" s="1" t="n">
        <v>468100</v>
      </c>
      <c r="N29" s="1" t="n">
        <v>0.09007803790412486</v>
      </c>
      <c r="O29" s="1" t="n"/>
      <c r="P29" s="1" t="n">
        <v>95000</v>
      </c>
      <c r="Q29" s="1" t="n">
        <v>0</v>
      </c>
      <c r="R29" s="1" t="n">
        <v>151900</v>
      </c>
      <c r="S29" s="1" t="n">
        <v>0.6254114549045424</v>
      </c>
      <c r="T29" s="1" t="n">
        <v>0.3745885450954576</v>
      </c>
      <c r="U29" s="1" t="n"/>
      <c r="V29" s="1" t="n">
        <v>61500</v>
      </c>
      <c r="W29" s="1" t="n">
        <v>15600</v>
      </c>
      <c r="X29" s="1" t="n">
        <v>659300</v>
      </c>
      <c r="Y29" s="1" t="n">
        <v>0.07130650924343639</v>
      </c>
      <c r="Z29" s="1" t="n"/>
      <c r="AA29" s="1" t="n">
        <v>0.007</v>
      </c>
      <c r="AB29" s="1" t="n">
        <v>-0.092</v>
      </c>
      <c r="AC29" s="1" t="n">
        <v>0.089</v>
      </c>
      <c r="AD29" s="1" t="n">
        <v>0.5469613259668509</v>
      </c>
      <c r="AE29" s="1" t="n"/>
      <c r="AF29" s="1" t="n">
        <v>0.01</v>
      </c>
      <c r="AG29" s="1" t="n">
        <v>-0.012</v>
      </c>
      <c r="AH29" s="1" t="n">
        <v>0.096</v>
      </c>
      <c r="AI29" s="1" t="n">
        <v>0.2037037037037037</v>
      </c>
      <c r="AJ29" s="1" t="n">
        <v>0.7962962962962963</v>
      </c>
      <c r="AK29" s="1" t="n"/>
      <c r="AL29" s="1" t="n">
        <v>717.1768867924528</v>
      </c>
      <c r="AM29" s="1" t="n">
        <v>164.1204356189602</v>
      </c>
      <c r="AN29" s="1" t="n">
        <v>840.9842519685039</v>
      </c>
      <c r="AO29" s="1" t="n">
        <v>0.8170867430264364</v>
      </c>
      <c r="AP29" s="1" t="n">
        <v>0.1829132569735636</v>
      </c>
      <c r="AQ29" s="1" t="n"/>
      <c r="AR29" s="1" t="n">
        <v>1148.22</v>
      </c>
      <c r="AS29" s="1" t="n">
        <v>582.9</v>
      </c>
      <c r="AT29" s="1" t="n">
        <v>1212.48</v>
      </c>
      <c r="AU29" s="1" t="n">
        <v>0.8979319546364243</v>
      </c>
      <c r="AW29" s="1" t="n">
        <v>0.07819573657585376</v>
      </c>
      <c r="AX29" s="1" t="n">
        <v>0.5245015273461088</v>
      </c>
      <c r="AY29" s="1" t="n">
        <v>0.8979319546364243</v>
      </c>
      <c r="AZ29" s="1" t="n">
        <v>0.6716288111315736</v>
      </c>
      <c r="BA29" s="1" t="n">
        <v>0.4206652964960699</v>
      </c>
    </row>
    <row r="32">
      <c r="A32" t="inlineStr">
        <is>
          <t>Pesos Offer (%):</t>
        </is>
      </c>
      <c r="B32" t="inlineStr">
        <is>
          <t>%</t>
        </is>
      </c>
      <c r="D32" t="inlineStr">
        <is>
          <t>Pesos Market (%):</t>
        </is>
      </c>
      <c r="E32" t="inlineStr">
        <is>
          <t>%</t>
        </is>
      </c>
      <c r="H32" t="inlineStr">
        <is>
          <t>Pesos Economic (%):</t>
        </is>
      </c>
      <c r="I32" t="inlineStr">
        <is>
          <t>%</t>
        </is>
      </c>
    </row>
    <row r="33">
      <c r="A33" t="inlineStr">
        <is>
          <t xml:space="preserve">Production_N     </t>
        </is>
      </c>
      <c r="B33" t="n">
        <v>34.02</v>
      </c>
      <c r="D33" t="inlineStr">
        <is>
          <t xml:space="preserve">Consumption_N      </t>
        </is>
      </c>
      <c r="E33" t="n">
        <v>50</v>
      </c>
      <c r="H33" t="inlineStr">
        <is>
          <t xml:space="preserve">PIB_N           </t>
        </is>
      </c>
      <c r="I33" t="n">
        <v>50</v>
      </c>
    </row>
    <row r="34">
      <c r="A34" t="inlineStr">
        <is>
          <t xml:space="preserve">Exportation_N   </t>
        </is>
      </c>
      <c r="B34" t="n">
        <v>32.95</v>
      </c>
      <c r="D34" t="inlineStr">
        <is>
          <t xml:space="preserve">Importation_N_Inversion   </t>
        </is>
      </c>
      <c r="E34" t="n">
        <v>50</v>
      </c>
      <c r="H34" t="inlineStr">
        <is>
          <t xml:space="preserve">Inflation_N_Inversion  </t>
        </is>
      </c>
      <c r="I34" t="n">
        <v>50</v>
      </c>
    </row>
    <row r="35">
      <c r="A35" t="inlineStr">
        <is>
          <t xml:space="preserve">OO_N             </t>
        </is>
      </c>
      <c r="B35" t="n">
        <v>33.03</v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L13" sqref="L13"/>
    </sheetView>
  </sheetViews>
  <sheetFormatPr baseColWidth="8" defaultRowHeight="14.4"/>
  <cols>
    <col width="15.5546875" bestFit="1" customWidth="1" min="1" max="1"/>
    <col width="10" bestFit="1" customWidth="1" min="2" max="2"/>
    <col width="12" bestFit="1" customWidth="1" min="3" max="5"/>
    <col width="13.77734375" bestFit="1" customWidth="1" min="6" max="6"/>
    <col width="12" bestFit="1" customWidth="1" min="7" max="7"/>
  </cols>
  <sheetData>
    <row r="1">
      <c r="A1" s="49" t="inlineStr">
        <is>
          <t>Harvest Period</t>
        </is>
      </c>
      <c r="B1" s="48" t="inlineStr">
        <is>
          <t>Country</t>
        </is>
      </c>
      <c r="C1" s="46" t="inlineStr">
        <is>
          <t>Offer_PCA</t>
        </is>
      </c>
      <c r="D1" s="46" t="inlineStr">
        <is>
          <t>Market_PCA</t>
        </is>
      </c>
      <c r="E1" s="46" t="inlineStr">
        <is>
          <t>Climate_PCA</t>
        </is>
      </c>
      <c r="F1" s="46" t="inlineStr">
        <is>
          <t>Economic_PCA</t>
        </is>
      </c>
      <c r="G1" s="46" t="inlineStr">
        <is>
          <t>ISMA_PCA</t>
        </is>
      </c>
    </row>
    <row r="2">
      <c r="A2" t="inlineStr">
        <is>
          <t>2018/2019</t>
        </is>
      </c>
      <c r="B2" t="inlineStr">
        <is>
          <t>Spain</t>
        </is>
      </c>
      <c r="C2" s="1" t="n">
        <v>0.8825069140467751</v>
      </c>
      <c r="D2" s="1" t="n">
        <v>0.6757826351916634</v>
      </c>
      <c r="E2" s="1" t="n">
        <v>0.3897201308809047</v>
      </c>
      <c r="F2" s="1" t="n">
        <v>0.686182729691017</v>
      </c>
      <c r="G2" s="1" t="n">
        <v>0.7012598458715564</v>
      </c>
    </row>
    <row r="3">
      <c r="A3" t="inlineStr">
        <is>
          <t>2019/2020</t>
        </is>
      </c>
      <c r="B3" t="inlineStr">
        <is>
          <t>Spain</t>
        </is>
      </c>
      <c r="C3" s="1" t="n">
        <v>0.7281868769758035</v>
      </c>
      <c r="D3" s="1" t="n">
        <v>0.4460292304983273</v>
      </c>
      <c r="E3" s="1" t="n">
        <v>0.059627052955939</v>
      </c>
      <c r="F3" s="1" t="n">
        <v>0.7214293022304072</v>
      </c>
      <c r="G3" s="1" t="n">
        <v>0.4816118535808401</v>
      </c>
    </row>
    <row r="4">
      <c r="A4" t="inlineStr">
        <is>
          <t>2020/2021</t>
        </is>
      </c>
      <c r="B4" t="inlineStr">
        <is>
          <t>Spain</t>
        </is>
      </c>
      <c r="C4" s="1" t="n">
        <v>0.8587332235140435</v>
      </c>
      <c r="D4" s="1" t="n">
        <v>0.6343709850724538</v>
      </c>
      <c r="E4" s="1" t="n">
        <v>0.1469392293274882</v>
      </c>
      <c r="F4" s="1" t="n">
        <v>0.6296040515653776</v>
      </c>
      <c r="G4" s="1" t="n">
        <v>0.6266295293000965</v>
      </c>
    </row>
    <row r="5">
      <c r="A5" t="inlineStr">
        <is>
          <t>2021/2022</t>
        </is>
      </c>
      <c r="B5" t="inlineStr">
        <is>
          <t>Spain</t>
        </is>
      </c>
      <c r="C5" s="1" t="n">
        <v>0.9402262584792577</v>
      </c>
      <c r="D5" s="1" t="n">
        <v>0.718235681369322</v>
      </c>
      <c r="E5" s="1" t="n">
        <v>0.1250675053210077</v>
      </c>
      <c r="F5" s="1" t="n">
        <v>0.6959535502353182</v>
      </c>
      <c r="G5" s="1" t="n">
        <v>0.6883982770036334</v>
      </c>
    </row>
    <row r="6">
      <c r="A6" t="inlineStr">
        <is>
          <t>2022/2023</t>
        </is>
      </c>
      <c r="B6" t="inlineStr">
        <is>
          <t>Spain</t>
        </is>
      </c>
      <c r="C6" s="1" t="n">
        <v>0.5365012983241101</v>
      </c>
      <c r="D6" s="1" t="n">
        <v>0.4872870505324295</v>
      </c>
      <c r="E6" s="1" t="n">
        <v>0.08856698116204452</v>
      </c>
      <c r="F6" s="1" t="n">
        <v>0.461632903621854</v>
      </c>
      <c r="G6" s="1" t="n">
        <v>0.4272287357750248</v>
      </c>
    </row>
    <row r="7">
      <c r="A7" t="inlineStr">
        <is>
          <t>2023/2024</t>
        </is>
      </c>
      <c r="B7" t="inlineStr">
        <is>
          <t>Spain</t>
        </is>
      </c>
      <c r="C7" s="1" t="n">
        <v>0.5826333041628481</v>
      </c>
      <c r="D7" s="1" t="n">
        <v>0.48616242161708</v>
      </c>
      <c r="E7" s="1" t="n">
        <v>0</v>
      </c>
      <c r="F7" s="1" t="n">
        <v>0.6138991201145898</v>
      </c>
      <c r="G7" s="1" t="n">
        <v>0.4275182903119713</v>
      </c>
    </row>
    <row r="8">
      <c r="A8" t="inlineStr">
        <is>
          <t>2024/2025</t>
        </is>
      </c>
      <c r="B8" t="inlineStr">
        <is>
          <t>Spain</t>
        </is>
      </c>
      <c r="C8" s="1" t="n">
        <v>0.7626877949980204</v>
      </c>
      <c r="D8" s="1" t="n">
        <v>0.5889715189451546</v>
      </c>
      <c r="E8" s="1" t="n">
        <v>0.1944947425267639</v>
      </c>
      <c r="F8" s="1" t="n">
        <v>0.6573562512789033</v>
      </c>
      <c r="G8" s="1" t="n">
        <v>0.5795626740826229</v>
      </c>
    </row>
    <row r="9">
      <c r="A9" t="inlineStr">
        <is>
          <t>2018/2019</t>
        </is>
      </c>
      <c r="B9" t="inlineStr">
        <is>
          <t>Portugal</t>
        </is>
      </c>
      <c r="C9" s="1" t="n">
        <v>0.03687914956633971</v>
      </c>
      <c r="D9" s="1" t="n">
        <v>0.5350263684704664</v>
      </c>
      <c r="E9" s="1" t="n">
        <v>0.4828298230566409</v>
      </c>
      <c r="F9" s="1" t="n">
        <v>0.732402291794557</v>
      </c>
      <c r="G9" s="1" t="n">
        <v>0.3253281718260507</v>
      </c>
    </row>
    <row r="10">
      <c r="A10" t="inlineStr">
        <is>
          <t>2019/2020</t>
        </is>
      </c>
      <c r="B10" t="inlineStr">
        <is>
          <t>Portugal</t>
        </is>
      </c>
      <c r="C10" s="1" t="n">
        <v>0.05734098917679112</v>
      </c>
      <c r="D10" s="1" t="n">
        <v>0.5449032568738689</v>
      </c>
      <c r="E10" s="1" t="n">
        <v>0.1916039264271419</v>
      </c>
      <c r="F10" s="1" t="n">
        <v>0.7592848373235115</v>
      </c>
      <c r="G10" s="1" t="n">
        <v>0.2792184837056924</v>
      </c>
    </row>
    <row r="11">
      <c r="A11" t="inlineStr">
        <is>
          <t>2020/2021</t>
        </is>
      </c>
      <c r="B11" t="inlineStr">
        <is>
          <t>Portugal</t>
        </is>
      </c>
      <c r="C11" s="1" t="n">
        <v>0.04150584614097453</v>
      </c>
      <c r="D11" s="1" t="n">
        <v>0.5425290917962194</v>
      </c>
      <c r="E11" s="1" t="n">
        <v>0.2032783760602306</v>
      </c>
      <c r="F11" s="1" t="n">
        <v>0.4720687538367096</v>
      </c>
      <c r="G11" s="1" t="n">
        <v>0.2742696503869237</v>
      </c>
    </row>
    <row r="12">
      <c r="A12" t="inlineStr">
        <is>
          <t>2021/2022</t>
        </is>
      </c>
      <c r="B12" t="inlineStr">
        <is>
          <t>Portugal</t>
        </is>
      </c>
      <c r="C12" s="1" t="n">
        <v>0.06546899918619681</v>
      </c>
      <c r="D12" s="1" t="n">
        <v>0.5416446557492516</v>
      </c>
      <c r="E12" s="1" t="n">
        <v>0.2400806887131103</v>
      </c>
      <c r="F12" s="1" t="n">
        <v>0.7930990382647842</v>
      </c>
      <c r="G12" s="1" t="n">
        <v>0.2908615997168014</v>
      </c>
    </row>
    <row r="13">
      <c r="A13" t="inlineStr">
        <is>
          <t>2022/2023</t>
        </is>
      </c>
      <c r="B13" t="inlineStr">
        <is>
          <t>Portugal</t>
        </is>
      </c>
      <c r="C13" s="1" t="n">
        <v>0.03484545238938903</v>
      </c>
      <c r="D13" s="1" t="n">
        <v>0.5162890642343196</v>
      </c>
      <c r="E13" s="1" t="n">
        <v>0.3372883509641348</v>
      </c>
      <c r="F13" s="1" t="n">
        <v>0.5308471454880297</v>
      </c>
      <c r="G13" s="1" t="n">
        <v>0.2879114768423104</v>
      </c>
    </row>
    <row r="14">
      <c r="A14" t="inlineStr">
        <is>
          <t>2023/2024</t>
        </is>
      </c>
      <c r="B14" t="inlineStr">
        <is>
          <t>Portugal</t>
        </is>
      </c>
      <c r="C14" s="1" t="n">
        <v>0.04044350115124139</v>
      </c>
      <c r="D14" s="1" t="n">
        <v>0.5051995032459075</v>
      </c>
      <c r="E14" s="1" t="n">
        <v>0.2195114203119541</v>
      </c>
      <c r="F14" s="1" t="n">
        <v>0.5713372211990997</v>
      </c>
      <c r="G14" s="1" t="n">
        <v>0.2621594858212504</v>
      </c>
    </row>
    <row r="15">
      <c r="A15" t="inlineStr">
        <is>
          <t>2024/2025</t>
        </is>
      </c>
      <c r="B15" t="inlineStr">
        <is>
          <t>Portugal</t>
        </is>
      </c>
      <c r="C15" s="1" t="n">
        <v>0.05157541783048449</v>
      </c>
      <c r="D15" s="1" t="n">
        <v>0.5080829189368776</v>
      </c>
      <c r="E15" s="1" t="n">
        <v>0.3037421773245656</v>
      </c>
      <c r="F15" s="1" t="n">
        <v>0.6399631675874771</v>
      </c>
      <c r="G15" s="1" t="n">
        <v>0.284611770171858</v>
      </c>
    </row>
    <row r="16">
      <c r="A16" t="inlineStr">
        <is>
          <t>2018/2019</t>
        </is>
      </c>
      <c r="B16" t="inlineStr">
        <is>
          <t>Greece</t>
        </is>
      </c>
      <c r="C16" s="1" t="n">
        <v>0.1116619656018778</v>
      </c>
      <c r="D16" s="1" t="n">
        <v>0.4999999999999999</v>
      </c>
      <c r="E16" s="1" t="n">
        <v>0.5248737253407033</v>
      </c>
      <c r="F16" s="1" t="n">
        <v>0.7288213627992635</v>
      </c>
      <c r="G16" s="1" t="n">
        <v>0.3496395313088918</v>
      </c>
    </row>
    <row r="17">
      <c r="A17" t="inlineStr">
        <is>
          <t>2019/2020</t>
        </is>
      </c>
      <c r="B17" t="inlineStr">
        <is>
          <t>Greece</t>
        </is>
      </c>
      <c r="C17" s="1" t="n">
        <v>0.1420241352032411</v>
      </c>
      <c r="D17" s="1" t="n">
        <v>0.5900686740623349</v>
      </c>
      <c r="E17" s="1" t="n">
        <v>0.4598780139140379</v>
      </c>
      <c r="F17" s="1" t="n">
        <v>0.7482351135666053</v>
      </c>
      <c r="G17" s="1" t="n">
        <v>0.384812726489038</v>
      </c>
    </row>
    <row r="18">
      <c r="A18" t="inlineStr">
        <is>
          <t>2020/2021</t>
        </is>
      </c>
      <c r="B18" t="inlineStr">
        <is>
          <t>Greece</t>
        </is>
      </c>
      <c r="C18" s="1" t="n">
        <v>0.1488472758600858</v>
      </c>
      <c r="D18" s="1" t="n">
        <v>0.5847210209680723</v>
      </c>
      <c r="E18" s="1" t="n">
        <v>0.221608056164427</v>
      </c>
      <c r="F18" s="1" t="n">
        <v>0.5</v>
      </c>
      <c r="G18" s="1" t="n">
        <v>0.3377489299641487</v>
      </c>
    </row>
    <row r="19">
      <c r="A19" t="inlineStr">
        <is>
          <t>2021/2022</t>
        </is>
      </c>
      <c r="B19" t="inlineStr">
        <is>
          <t>Greece</t>
        </is>
      </c>
      <c r="C19" s="1" t="n">
        <v>0.1119679717683979</v>
      </c>
      <c r="D19" s="1" t="n">
        <v>0.5823208311322415</v>
      </c>
      <c r="E19" s="1" t="n">
        <v>0.5047968486927794</v>
      </c>
      <c r="F19" s="1" t="n">
        <v>0.8833640270104359</v>
      </c>
      <c r="G19" s="1" t="n">
        <v>0.3786748908988117</v>
      </c>
    </row>
    <row r="20">
      <c r="A20" t="inlineStr">
        <is>
          <t>2022/2023</t>
        </is>
      </c>
      <c r="B20" t="inlineStr">
        <is>
          <t>Greece</t>
        </is>
      </c>
      <c r="C20" s="1" t="n">
        <v>0.2108061400824406</v>
      </c>
      <c r="D20" s="1" t="n">
        <v>0.57373857301556</v>
      </c>
      <c r="E20" s="1" t="n">
        <v>0.2647796943994409</v>
      </c>
      <c r="F20" s="1" t="n">
        <v>0.4060773480662985</v>
      </c>
      <c r="G20" s="1" t="n">
        <v>0.3667738241190884</v>
      </c>
    </row>
    <row r="21">
      <c r="A21" t="inlineStr">
        <is>
          <t>2023/2024</t>
        </is>
      </c>
      <c r="B21" t="inlineStr">
        <is>
          <t>Greece</t>
        </is>
      </c>
      <c r="C21" s="1" t="n">
        <v>0.06353915579284569</v>
      </c>
      <c r="D21" s="1" t="n">
        <v>0.5681267889123169</v>
      </c>
      <c r="E21" s="1" t="n">
        <v>0.4062708472314876</v>
      </c>
      <c r="F21" s="1" t="n">
        <v>0.5945621035400042</v>
      </c>
      <c r="G21" s="1" t="n">
        <v>0.3339205473283626</v>
      </c>
    </row>
    <row r="22">
      <c r="A22" t="inlineStr">
        <is>
          <t>2024/2025</t>
        </is>
      </c>
      <c r="B22" t="inlineStr">
        <is>
          <t>Greece</t>
        </is>
      </c>
      <c r="C22" s="1" t="n">
        <v>0.1448699709807228</v>
      </c>
      <c r="D22" s="1" t="n">
        <v>0.5862827962669483</v>
      </c>
      <c r="E22" s="1" t="n">
        <v>0.1943517900822771</v>
      </c>
      <c r="F22" s="1" t="n">
        <v>0.6315991405770411</v>
      </c>
      <c r="G22" s="1" t="n">
        <v>0.3313314649155239</v>
      </c>
    </row>
    <row r="23">
      <c r="A23" t="inlineStr">
        <is>
          <t>2018/2019</t>
        </is>
      </c>
      <c r="B23" t="inlineStr">
        <is>
          <t>Italy</t>
        </is>
      </c>
      <c r="C23" s="1" t="n">
        <v>0.1576590462620376</v>
      </c>
      <c r="D23" s="1" t="n">
        <v>0.6968673262464845</v>
      </c>
      <c r="E23" s="1" t="n">
        <v>1</v>
      </c>
      <c r="F23" s="1" t="n">
        <v>0.672524043380397</v>
      </c>
      <c r="G23" s="1" t="n">
        <v>0.5418105490034089</v>
      </c>
    </row>
    <row r="24">
      <c r="A24" t="inlineStr">
        <is>
          <t>2019/2020</t>
        </is>
      </c>
      <c r="B24" t="inlineStr">
        <is>
          <t>Italy</t>
        </is>
      </c>
      <c r="C24" s="1" t="n">
        <v>0.1209542763523147</v>
      </c>
      <c r="D24" s="1" t="n">
        <v>0.5790446676429719</v>
      </c>
      <c r="E24" s="1" t="n">
        <v>0.933876552622383</v>
      </c>
      <c r="F24" s="1" t="n">
        <v>0.6873848987108656</v>
      </c>
      <c r="G24" s="1" t="n">
        <v>0.4667748881225913</v>
      </c>
    </row>
    <row r="25">
      <c r="A25" t="inlineStr">
        <is>
          <t>2020/2021</t>
        </is>
      </c>
      <c r="B25" t="inlineStr">
        <is>
          <t>Italy</t>
        </is>
      </c>
      <c r="C25" s="1" t="n">
        <v>0.1110210571225281</v>
      </c>
      <c r="D25" s="1" t="n">
        <v>0.6923590730363682</v>
      </c>
      <c r="E25" s="1" t="n">
        <v>0.6328822389529528</v>
      </c>
      <c r="F25" s="1" t="n">
        <v>0.4573613668917537</v>
      </c>
      <c r="G25" s="1" t="n">
        <v>0.4479284998541491</v>
      </c>
    </row>
    <row r="26">
      <c r="A26" t="inlineStr">
        <is>
          <t>2021/2022</t>
        </is>
      </c>
      <c r="B26" t="inlineStr">
        <is>
          <t>Italy</t>
        </is>
      </c>
      <c r="C26" s="1" t="n">
        <v>0.1091777500181274</v>
      </c>
      <c r="D26" s="1" t="n">
        <v>0.7223629529858397</v>
      </c>
      <c r="E26" s="1" t="n">
        <v>0.6471774834016328</v>
      </c>
      <c r="F26" s="1" t="n">
        <v>0.8564814814814816</v>
      </c>
      <c r="G26" s="1" t="n">
        <v>0.4620517778819135</v>
      </c>
    </row>
    <row r="27">
      <c r="A27" t="inlineStr">
        <is>
          <t>2022/2023</t>
        </is>
      </c>
      <c r="B27" t="inlineStr">
        <is>
          <t>Italy</t>
        </is>
      </c>
      <c r="C27" s="1" t="n">
        <v>0.08383969975223624</v>
      </c>
      <c r="D27" s="1" t="n">
        <v>0.6587283039589744</v>
      </c>
      <c r="E27" s="1" t="n">
        <v>0.37369357349344</v>
      </c>
      <c r="F27" s="1" t="n">
        <v>0.4515551463065277</v>
      </c>
      <c r="G27" s="1" t="n">
        <v>0.3717659161831723</v>
      </c>
    </row>
    <row r="28">
      <c r="A28" t="inlineStr">
        <is>
          <t>2023/2024</t>
        </is>
      </c>
      <c r="B28" t="inlineStr">
        <is>
          <t>Italy</t>
        </is>
      </c>
      <c r="C28" s="1" t="n">
        <v>0.1037935040267321</v>
      </c>
      <c r="D28" s="1" t="n">
        <v>0.6259280086794017</v>
      </c>
      <c r="E28" s="1" t="n">
        <v>0.7028018679119411</v>
      </c>
      <c r="F28" s="1" t="n">
        <v>0.4669531409862902</v>
      </c>
      <c r="G28" s="1" t="n">
        <v>0.4324489786648418</v>
      </c>
    </row>
    <row r="29">
      <c r="A29" t="inlineStr">
        <is>
          <t>2024/2025</t>
        </is>
      </c>
      <c r="B29" t="inlineStr">
        <is>
          <t>Italy</t>
        </is>
      </c>
      <c r="C29" s="1" t="n">
        <v>0.07819573657585376</v>
      </c>
      <c r="D29" s="1" t="n">
        <v>0.5245015273461088</v>
      </c>
      <c r="E29" s="1" t="n">
        <v>0.8979319546364243</v>
      </c>
      <c r="F29" s="1" t="n">
        <v>0.6716288111315736</v>
      </c>
      <c r="G29" s="1" t="n">
        <v>0.4206652964960699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>
      <c r="A1" s="68" t="inlineStr">
        <is>
          <t>Harvest Period</t>
        </is>
      </c>
      <c r="B1" s="68" t="inlineStr">
        <is>
          <t>Country</t>
        </is>
      </c>
      <c r="C1" s="68" t="inlineStr">
        <is>
          <t>Offer_PCA</t>
        </is>
      </c>
      <c r="D1" s="68" t="inlineStr">
        <is>
          <t>Market_PCA</t>
        </is>
      </c>
      <c r="E1" s="68" t="inlineStr">
        <is>
          <t>Climate_PCA</t>
        </is>
      </c>
      <c r="F1" s="68" t="inlineStr">
        <is>
          <t>Economic_PCA</t>
        </is>
      </c>
      <c r="G1" s="68" t="inlineStr">
        <is>
          <t>ISMA_PCA</t>
        </is>
      </c>
      <c r="H1" s="68" t="inlineStr">
        <is>
          <t>ISMA_FINAL</t>
        </is>
      </c>
      <c r="I1" s="68" t="inlineStr">
        <is>
          <t>Explication</t>
        </is>
      </c>
      <c r="J1" s="68" t="inlineStr">
        <is>
          <t>SalesBA</t>
        </is>
      </c>
      <c r="K1" s="68" t="inlineStr">
        <is>
          <t>Production</t>
        </is>
      </c>
      <c r="L1" s="68" t="inlineStr">
        <is>
          <t>Consumption</t>
        </is>
      </c>
      <c r="M1" s="68" t="inlineStr">
        <is>
          <t>Year</t>
        </is>
      </c>
      <c r="N1" s="68" t="inlineStr">
        <is>
          <t>hu_mean</t>
        </is>
      </c>
      <c r="O1" s="68" t="inlineStr">
        <is>
          <t>tn_mean</t>
        </is>
      </c>
      <c r="P1" s="68" t="inlineStr">
        <is>
          <t>tx_mean</t>
        </is>
      </c>
    </row>
    <row r="2">
      <c r="A2" t="inlineStr">
        <is>
          <t>2018/2019</t>
        </is>
      </c>
      <c r="B2" t="inlineStr">
        <is>
          <t>Spain</t>
        </is>
      </c>
      <c r="C2" t="n">
        <v>0.8825069140467751</v>
      </c>
      <c r="D2" t="n">
        <v>0.6757826351916634</v>
      </c>
      <c r="E2" t="n">
        <v>0.3897201308809047</v>
      </c>
      <c r="F2" t="n">
        <v>0.686182729691017</v>
      </c>
      <c r="G2" t="n">
        <v>0.7012598458715564</v>
      </c>
      <c r="H2" t="n">
        <v>0.6149618892825145</v>
      </c>
      <c r="J2" t="n">
        <v>14157.47</v>
      </c>
      <c r="K2" t="n">
        <v>1789900</v>
      </c>
      <c r="L2" t="n">
        <v>525700</v>
      </c>
      <c r="M2" t="n">
        <v>2018</v>
      </c>
    </row>
    <row r="3">
      <c r="A3" t="inlineStr">
        <is>
          <t>2019/2020</t>
        </is>
      </c>
      <c r="B3" t="inlineStr">
        <is>
          <t>Spain</t>
        </is>
      </c>
      <c r="C3" t="n">
        <v>0.7281868769758035</v>
      </c>
      <c r="D3" t="n">
        <v>0.4460292304983273</v>
      </c>
      <c r="E3" t="n">
        <v>0.059627052955939</v>
      </c>
      <c r="F3" t="n">
        <v>0.7214293022304072</v>
      </c>
      <c r="G3" t="n">
        <v>0.4816118535808401</v>
      </c>
      <c r="H3" t="n">
        <v>0.3936439269723568</v>
      </c>
      <c r="J3" t="n">
        <v>10804.49</v>
      </c>
      <c r="K3" t="n">
        <v>1125300</v>
      </c>
      <c r="L3" t="n">
        <v>518600</v>
      </c>
      <c r="M3" t="n">
        <v>2019</v>
      </c>
    </row>
    <row r="4">
      <c r="A4" t="inlineStr">
        <is>
          <t>2020/2021</t>
        </is>
      </c>
      <c r="B4" t="inlineStr">
        <is>
          <t>Spain</t>
        </is>
      </c>
      <c r="C4" t="n">
        <v>0.8587332235140435</v>
      </c>
      <c r="D4" t="n">
        <v>0.6343709850724538</v>
      </c>
      <c r="E4" t="n">
        <v>0.1469392293274882</v>
      </c>
      <c r="F4" t="n">
        <v>0.6296040515653776</v>
      </c>
      <c r="G4" t="n">
        <v>0.6266295293000965</v>
      </c>
      <c r="H4" t="n">
        <v>0.4940884725007157</v>
      </c>
      <c r="J4" t="n">
        <v>7660.26</v>
      </c>
      <c r="K4" t="n">
        <v>1389000</v>
      </c>
      <c r="L4" t="n">
        <v>541100</v>
      </c>
      <c r="M4" t="n">
        <v>2020</v>
      </c>
    </row>
    <row r="5">
      <c r="A5" t="inlineStr">
        <is>
          <t>2021/2022</t>
        </is>
      </c>
      <c r="B5" t="inlineStr">
        <is>
          <t>Spain</t>
        </is>
      </c>
      <c r="C5" t="n">
        <v>0.9402262584792577</v>
      </c>
      <c r="D5" t="n">
        <v>0.718235681369322</v>
      </c>
      <c r="E5" t="n">
        <v>0.1250675053210077</v>
      </c>
      <c r="F5" t="n">
        <v>0.6959535502353182</v>
      </c>
      <c r="G5" t="n">
        <v>0.6883982770036334</v>
      </c>
      <c r="H5" t="n">
        <v>0.532062549963902</v>
      </c>
      <c r="J5" t="n">
        <v>9055.379999999999</v>
      </c>
      <c r="K5" t="n">
        <v>1493000</v>
      </c>
      <c r="L5" t="n">
        <v>579900</v>
      </c>
      <c r="M5" t="n">
        <v>2021</v>
      </c>
    </row>
    <row r="6">
      <c r="A6" t="inlineStr">
        <is>
          <t>2022/2023</t>
        </is>
      </c>
      <c r="B6" t="inlineStr">
        <is>
          <t>Spain</t>
        </is>
      </c>
      <c r="C6" t="n">
        <v>0.5365012983241101</v>
      </c>
      <c r="D6" t="n">
        <v>0.4872870505324295</v>
      </c>
      <c r="E6" t="n">
        <v>0.08856698116204452</v>
      </c>
      <c r="F6" t="n">
        <v>0.461632903621854</v>
      </c>
      <c r="G6" t="n">
        <v>0.4272287357750248</v>
      </c>
      <c r="H6" t="n">
        <v>0.3342512540321767</v>
      </c>
      <c r="J6" t="n">
        <v>5539</v>
      </c>
      <c r="K6" t="n">
        <v>665800</v>
      </c>
      <c r="L6" t="n">
        <v>363200</v>
      </c>
      <c r="M6" t="n">
        <v>2022</v>
      </c>
    </row>
    <row r="7">
      <c r="A7" t="inlineStr">
        <is>
          <t>2023/2024</t>
        </is>
      </c>
      <c r="B7" t="inlineStr">
        <is>
          <t>Spain</t>
        </is>
      </c>
      <c r="C7" t="n">
        <v>0.5826333041628481</v>
      </c>
      <c r="D7" t="n">
        <v>0.48616242161708</v>
      </c>
      <c r="E7" t="n">
        <v>0</v>
      </c>
      <c r="F7" t="n">
        <v>0.6138991201145898</v>
      </c>
      <c r="G7" t="n">
        <v>0.4275182903119713</v>
      </c>
      <c r="H7" t="n">
        <v>0.3269408201457451</v>
      </c>
      <c r="J7" t="n">
        <v>8758.51</v>
      </c>
      <c r="K7" t="n">
        <v>854000</v>
      </c>
      <c r="L7" t="n">
        <v>402300</v>
      </c>
      <c r="M7" t="n">
        <v>2023</v>
      </c>
    </row>
    <row r="8">
      <c r="A8" t="inlineStr">
        <is>
          <t>2024/2025</t>
        </is>
      </c>
      <c r="B8" t="inlineStr">
        <is>
          <t>Spain</t>
        </is>
      </c>
      <c r="C8" t="n">
        <v>0.7626877949980204</v>
      </c>
      <c r="D8" t="n">
        <v>0.5889715189451546</v>
      </c>
      <c r="E8" t="n">
        <v>0.1944947425267639</v>
      </c>
      <c r="F8" t="n">
        <v>0.6573562512789033</v>
      </c>
      <c r="G8" t="n">
        <v>0.5795626740826229</v>
      </c>
      <c r="H8" t="n">
        <v>0.4813553645119695</v>
      </c>
      <c r="J8" t="n">
        <v>8738.879999999999</v>
      </c>
      <c r="K8" t="n">
        <v>1289900</v>
      </c>
      <c r="L8" t="n">
        <v>460000</v>
      </c>
      <c r="M8" t="n">
        <v>2024</v>
      </c>
    </row>
    <row r="9">
      <c r="A9" t="inlineStr">
        <is>
          <t>2018/2019</t>
        </is>
      </c>
      <c r="B9" t="inlineStr">
        <is>
          <t>Portugal</t>
        </is>
      </c>
      <c r="C9" t="n">
        <v>0.03687914956633971</v>
      </c>
      <c r="D9" t="n">
        <v>0.5350263684704664</v>
      </c>
      <c r="E9" t="n">
        <v>0.4828298230566409</v>
      </c>
      <c r="F9" t="n">
        <v>0.732402291794557</v>
      </c>
      <c r="G9" t="n">
        <v>0.3253281718260507</v>
      </c>
      <c r="H9" t="n">
        <v>0.4024961913596014</v>
      </c>
      <c r="J9" t="n">
        <v>31481.21</v>
      </c>
      <c r="K9" t="n">
        <v>100300</v>
      </c>
      <c r="L9" t="n">
        <v>54400</v>
      </c>
      <c r="M9" t="n">
        <v>2018</v>
      </c>
      <c r="N9" t="n">
        <v>77.58491825469552</v>
      </c>
      <c r="O9" t="n">
        <v>13.56265723476671</v>
      </c>
      <c r="P9" t="n">
        <v>21.24046535753224</v>
      </c>
    </row>
    <row r="10">
      <c r="A10" t="inlineStr">
        <is>
          <t>2019/2020</t>
        </is>
      </c>
      <c r="B10" t="inlineStr">
        <is>
          <t>Portugal</t>
        </is>
      </c>
      <c r="C10" t="n">
        <v>0.05734098917679112</v>
      </c>
      <c r="D10" t="n">
        <v>0.5449032568738689</v>
      </c>
      <c r="E10" t="n">
        <v>0.1916039264271419</v>
      </c>
      <c r="F10" t="n">
        <v>0.7592848373235115</v>
      </c>
      <c r="G10" t="n">
        <v>0.2792184837056924</v>
      </c>
      <c r="H10" t="n">
        <v>0.2937407543272443</v>
      </c>
      <c r="J10" t="n">
        <v>39849.93</v>
      </c>
      <c r="K10" t="n">
        <v>140500</v>
      </c>
      <c r="L10" t="n">
        <v>71600</v>
      </c>
      <c r="M10" t="n">
        <v>2019</v>
      </c>
      <c r="N10" t="n">
        <v>75.00599145495202</v>
      </c>
      <c r="O10" t="n">
        <v>13.80378052045221</v>
      </c>
      <c r="P10" t="n">
        <v>21.71210906668885</v>
      </c>
    </row>
    <row r="11">
      <c r="A11" t="inlineStr">
        <is>
          <t>2020/2021</t>
        </is>
      </c>
      <c r="B11" t="inlineStr">
        <is>
          <t>Portugal</t>
        </is>
      </c>
      <c r="C11" t="n">
        <v>0.04150584614097453</v>
      </c>
      <c r="D11" t="n">
        <v>0.5425290917962194</v>
      </c>
      <c r="E11" t="n">
        <v>0.2032783760602306</v>
      </c>
      <c r="F11" t="n">
        <v>0.4720687538367096</v>
      </c>
      <c r="G11" t="n">
        <v>0.2742696503869237</v>
      </c>
      <c r="H11" t="n">
        <v>0.2619325713384033</v>
      </c>
      <c r="J11" t="n">
        <v>34682.56</v>
      </c>
      <c r="K11" t="n">
        <v>100000</v>
      </c>
      <c r="L11" t="n">
        <v>61800</v>
      </c>
      <c r="M11" t="n">
        <v>2020</v>
      </c>
      <c r="N11" t="n">
        <v>76.83307474214736</v>
      </c>
      <c r="O11" t="n">
        <v>13.84183026744368</v>
      </c>
      <c r="P11" t="n">
        <v>22.92073714928549</v>
      </c>
    </row>
    <row r="12">
      <c r="A12" t="inlineStr">
        <is>
          <t>2021/2022</t>
        </is>
      </c>
      <c r="B12" t="inlineStr">
        <is>
          <t>Portugal</t>
        </is>
      </c>
      <c r="C12" t="n">
        <v>0.06546899918619681</v>
      </c>
      <c r="D12" t="n">
        <v>0.5416446557492516</v>
      </c>
      <c r="E12" t="n">
        <v>0.2400806887131103</v>
      </c>
      <c r="F12" t="n">
        <v>0.7930990382647842</v>
      </c>
      <c r="G12" t="n">
        <v>0.2908615997168014</v>
      </c>
      <c r="H12" t="n">
        <v>0.3188283764689262</v>
      </c>
      <c r="J12" t="n">
        <v>36079.63</v>
      </c>
      <c r="K12" t="n">
        <v>206200</v>
      </c>
      <c r="L12" t="n">
        <v>59300</v>
      </c>
      <c r="M12" t="n">
        <v>2021</v>
      </c>
      <c r="N12" t="n">
        <v>74.60546482002343</v>
      </c>
      <c r="O12" t="n">
        <v>11.35336963852281</v>
      </c>
      <c r="P12" t="n">
        <v>22.27369811436902</v>
      </c>
    </row>
    <row r="13">
      <c r="A13" t="inlineStr">
        <is>
          <t>2022/2023</t>
        </is>
      </c>
      <c r="B13" t="inlineStr">
        <is>
          <t>Portugal</t>
        </is>
      </c>
      <c r="C13" t="n">
        <v>0.03484545238938903</v>
      </c>
      <c r="D13" t="n">
        <v>0.5162890642343196</v>
      </c>
      <c r="E13" t="n">
        <v>0.3372883509641348</v>
      </c>
      <c r="F13" t="n">
        <v>0.5308471454880297</v>
      </c>
      <c r="G13" t="n">
        <v>0.2879114768423104</v>
      </c>
      <c r="H13" t="n">
        <v>0.3159974510737042</v>
      </c>
      <c r="J13" t="n">
        <v>27101.28</v>
      </c>
      <c r="K13" t="n">
        <v>126000</v>
      </c>
      <c r="L13" t="n">
        <v>39100</v>
      </c>
      <c r="M13" t="n">
        <v>2022</v>
      </c>
      <c r="N13" t="n">
        <v>74.95656157063914</v>
      </c>
      <c r="O13" t="n">
        <v>12.44350660925042</v>
      </c>
      <c r="P13" t="n">
        <v>23.10241041052831</v>
      </c>
    </row>
    <row r="14">
      <c r="A14" t="inlineStr">
        <is>
          <t>2023/2024</t>
        </is>
      </c>
      <c r="B14" t="inlineStr">
        <is>
          <t>Portugal</t>
        </is>
      </c>
      <c r="C14" t="n">
        <v>0.04044350115124139</v>
      </c>
      <c r="D14" t="n">
        <v>0.5051995032459075</v>
      </c>
      <c r="E14" t="n">
        <v>0.2195114203119541</v>
      </c>
      <c r="F14" t="n">
        <v>0.5713372211990997</v>
      </c>
      <c r="G14" t="n">
        <v>0.2621594858212504</v>
      </c>
      <c r="H14" t="n">
        <v>0.2713817146555907</v>
      </c>
      <c r="J14" t="n">
        <v>29440.92</v>
      </c>
      <c r="K14" t="n">
        <v>160900</v>
      </c>
      <c r="L14" t="n">
        <v>60900</v>
      </c>
      <c r="M14" t="n">
        <v>2023</v>
      </c>
      <c r="N14" t="n">
        <v>72.76611299906692</v>
      </c>
      <c r="O14" t="n">
        <v>12.05528740294992</v>
      </c>
      <c r="P14" t="n">
        <v>23.48556112785862</v>
      </c>
    </row>
    <row r="15">
      <c r="A15" t="inlineStr">
        <is>
          <t>2024/2025</t>
        </is>
      </c>
      <c r="B15" t="inlineStr">
        <is>
          <t>Portugal</t>
        </is>
      </c>
      <c r="C15" t="n">
        <v>0.05157541783048449</v>
      </c>
      <c r="D15" t="n">
        <v>0.5080829189368776</v>
      </c>
      <c r="E15" t="n">
        <v>0.3037421773245656</v>
      </c>
      <c r="F15" t="n">
        <v>0.6399631675874771</v>
      </c>
      <c r="G15" t="n">
        <v>0.284611770171858</v>
      </c>
      <c r="H15" t="n">
        <v>0.3170836509923852</v>
      </c>
      <c r="J15" t="n">
        <v>39759.83</v>
      </c>
      <c r="K15" t="n">
        <v>195000</v>
      </c>
      <c r="L15" t="n">
        <v>72400</v>
      </c>
      <c r="M15" t="n">
        <v>2024</v>
      </c>
      <c r="N15" t="n">
        <v>76.67796720739913</v>
      </c>
      <c r="O15" t="n">
        <v>11.99060084194434</v>
      </c>
      <c r="P15" t="n">
        <v>22.96152958843878</v>
      </c>
    </row>
    <row r="16">
      <c r="A16" t="inlineStr">
        <is>
          <t>2018/2019</t>
        </is>
      </c>
      <c r="B16" t="inlineStr">
        <is>
          <t>Greece</t>
        </is>
      </c>
      <c r="C16" t="n">
        <v>0.1116619656018778</v>
      </c>
      <c r="D16" t="n">
        <v>0.4999999999999999</v>
      </c>
      <c r="E16" t="n">
        <v>0.5248737253407033</v>
      </c>
      <c r="F16" t="n">
        <v>0.7288213627992635</v>
      </c>
      <c r="G16" t="n">
        <v>0.3496395313088918</v>
      </c>
      <c r="H16" t="n">
        <v>0.431855994868503</v>
      </c>
      <c r="J16" t="n">
        <v>7861.06</v>
      </c>
      <c r="K16" t="n">
        <v>185000</v>
      </c>
      <c r="L16" t="n">
        <v>12000</v>
      </c>
      <c r="M16" t="n">
        <v>2018</v>
      </c>
    </row>
    <row r="17">
      <c r="A17" t="inlineStr">
        <is>
          <t>2019/2020</t>
        </is>
      </c>
      <c r="B17" t="inlineStr">
        <is>
          <t>Greece</t>
        </is>
      </c>
      <c r="C17" t="n">
        <v>0.1420241352032411</v>
      </c>
      <c r="D17" t="n">
        <v>0.5900686740623349</v>
      </c>
      <c r="E17" t="n">
        <v>0.4598780139140379</v>
      </c>
      <c r="F17" t="n">
        <v>0.7482351135666053</v>
      </c>
      <c r="G17" t="n">
        <v>0.384812726489038</v>
      </c>
      <c r="H17" t="n">
        <v>0.4346204792635874</v>
      </c>
      <c r="J17" t="n">
        <v>15387.51</v>
      </c>
      <c r="K17" t="n">
        <v>275000</v>
      </c>
      <c r="L17" t="n">
        <v>114300</v>
      </c>
      <c r="M17" t="n">
        <v>2019</v>
      </c>
    </row>
    <row r="18">
      <c r="A18" t="inlineStr">
        <is>
          <t>2020/2021</t>
        </is>
      </c>
      <c r="B18" t="inlineStr">
        <is>
          <t>Greece</t>
        </is>
      </c>
      <c r="C18" t="n">
        <v>0.1488472758600858</v>
      </c>
      <c r="D18" t="n">
        <v>0.5847210209680723</v>
      </c>
      <c r="E18" t="n">
        <v>0.221608056164427</v>
      </c>
      <c r="F18" t="n">
        <v>0.5</v>
      </c>
      <c r="G18" t="n">
        <v>0.3377489299641487</v>
      </c>
      <c r="H18" t="n">
        <v>0.3101671943335161</v>
      </c>
      <c r="J18" t="n">
        <v>13483.64</v>
      </c>
      <c r="K18" t="n">
        <v>275000</v>
      </c>
      <c r="L18" t="n">
        <v>108600</v>
      </c>
      <c r="M18" t="n">
        <v>2020</v>
      </c>
    </row>
    <row r="19">
      <c r="A19" t="inlineStr">
        <is>
          <t>2021/2022</t>
        </is>
      </c>
      <c r="B19" t="inlineStr">
        <is>
          <t>Greece</t>
        </is>
      </c>
      <c r="C19" t="n">
        <v>0.1119679717683979</v>
      </c>
      <c r="D19" t="n">
        <v>0.5823208311322415</v>
      </c>
      <c r="E19" t="n">
        <v>0.5047968486927794</v>
      </c>
      <c r="F19" t="n">
        <v>0.8833640270104359</v>
      </c>
      <c r="G19" t="n">
        <v>0.3786748908988117</v>
      </c>
      <c r="H19" t="n">
        <v>0.4583369454902138</v>
      </c>
      <c r="J19" t="n">
        <v>9196.120000000001</v>
      </c>
      <c r="K19" t="n">
        <v>232000</v>
      </c>
      <c r="L19" t="n">
        <v>105500</v>
      </c>
      <c r="M19" t="n">
        <v>2021</v>
      </c>
    </row>
    <row r="20">
      <c r="A20" t="inlineStr">
        <is>
          <t>2022/2023</t>
        </is>
      </c>
      <c r="B20" t="inlineStr">
        <is>
          <t>Greece</t>
        </is>
      </c>
      <c r="C20" t="n">
        <v>0.2108061400824406</v>
      </c>
      <c r="D20" t="n">
        <v>0.57373857301556</v>
      </c>
      <c r="E20" t="n">
        <v>0.2647796943994409</v>
      </c>
      <c r="F20" t="n">
        <v>0.4060773480662985</v>
      </c>
      <c r="G20" t="n">
        <v>0.3667738241190884</v>
      </c>
      <c r="H20" t="n">
        <v>0.3316497080648413</v>
      </c>
      <c r="J20" t="n">
        <v>6849.92</v>
      </c>
      <c r="K20" t="n">
        <v>345000</v>
      </c>
      <c r="L20" t="n">
        <v>96500</v>
      </c>
      <c r="M20" t="n">
        <v>2022</v>
      </c>
    </row>
    <row r="21">
      <c r="A21" t="inlineStr">
        <is>
          <t>2023/2024</t>
        </is>
      </c>
      <c r="B21" t="inlineStr">
        <is>
          <t>Greece</t>
        </is>
      </c>
      <c r="C21" t="n">
        <v>0.06353915579284569</v>
      </c>
      <c r="D21" t="n">
        <v>0.5681267889123169</v>
      </c>
      <c r="E21" t="n">
        <v>0.4062708472314876</v>
      </c>
      <c r="F21" t="n">
        <v>0.5945621035400042</v>
      </c>
      <c r="G21" t="n">
        <v>0.3339205473283626</v>
      </c>
      <c r="H21" t="n">
        <v>0.3699947616763282</v>
      </c>
      <c r="J21" t="n">
        <v>4379.36</v>
      </c>
      <c r="K21" t="n">
        <v>175000</v>
      </c>
      <c r="L21" t="n">
        <v>90500</v>
      </c>
      <c r="M21" t="n">
        <v>2023</v>
      </c>
    </row>
    <row r="22">
      <c r="A22" t="inlineStr">
        <is>
          <t>2024/2025</t>
        </is>
      </c>
      <c r="B22" t="inlineStr">
        <is>
          <t>Greece</t>
        </is>
      </c>
      <c r="C22" t="n">
        <v>0.1448699709807228</v>
      </c>
      <c r="D22" t="n">
        <v>0.5862827962669483</v>
      </c>
      <c r="E22" t="n">
        <v>0.1943517900822771</v>
      </c>
      <c r="F22" t="n">
        <v>0.6315991405770411</v>
      </c>
      <c r="G22" t="n">
        <v>0.3313314649155239</v>
      </c>
      <c r="H22" t="n">
        <v>0.3128678688468149</v>
      </c>
      <c r="J22" t="n">
        <v>4637.98</v>
      </c>
      <c r="K22" t="n">
        <v>250000</v>
      </c>
      <c r="L22" t="n">
        <v>110000</v>
      </c>
      <c r="M22" t="n">
        <v>2024</v>
      </c>
    </row>
    <row r="23">
      <c r="A23" t="inlineStr">
        <is>
          <t>2018/2019</t>
        </is>
      </c>
      <c r="B23" t="inlineStr">
        <is>
          <t>Italy</t>
        </is>
      </c>
      <c r="C23" t="n">
        <v>0.1576590462620376</v>
      </c>
      <c r="D23" t="n">
        <v>0.6968673262464845</v>
      </c>
      <c r="E23" t="n">
        <v>1</v>
      </c>
      <c r="F23" t="n">
        <v>0.672524043380397</v>
      </c>
      <c r="G23" t="n">
        <v>0.5418105490034089</v>
      </c>
      <c r="H23" t="n">
        <v>0.6743375220248138</v>
      </c>
      <c r="J23" t="n">
        <v>3876.46</v>
      </c>
      <c r="K23" t="n">
        <v>173600</v>
      </c>
      <c r="L23" t="n">
        <v>417300</v>
      </c>
      <c r="M23" t="n">
        <v>2018</v>
      </c>
    </row>
    <row r="24">
      <c r="A24" t="inlineStr">
        <is>
          <t>2019/2020</t>
        </is>
      </c>
      <c r="B24" t="inlineStr">
        <is>
          <t>Italy</t>
        </is>
      </c>
      <c r="C24" t="n">
        <v>0.1209542763523147</v>
      </c>
      <c r="D24" t="n">
        <v>0.5790446676429719</v>
      </c>
      <c r="E24" t="n">
        <v>0.933876552622383</v>
      </c>
      <c r="F24" t="n">
        <v>0.6873848987108656</v>
      </c>
      <c r="G24" t="n">
        <v>0.4667748881225913</v>
      </c>
      <c r="H24" t="n">
        <v>0.6140743539921799</v>
      </c>
      <c r="J24" t="n">
        <v>13437.7</v>
      </c>
      <c r="K24" t="n">
        <v>366500</v>
      </c>
      <c r="L24" t="n">
        <v>407600</v>
      </c>
      <c r="M24" t="n">
        <v>2019</v>
      </c>
    </row>
    <row r="25">
      <c r="A25" t="inlineStr">
        <is>
          <t>2020/2021</t>
        </is>
      </c>
      <c r="B25" t="inlineStr">
        <is>
          <t>Italy</t>
        </is>
      </c>
      <c r="C25" t="n">
        <v>0.1110210571225281</v>
      </c>
      <c r="D25" t="n">
        <v>0.6923590730363682</v>
      </c>
      <c r="E25" t="n">
        <v>0.6328822389529528</v>
      </c>
      <c r="F25" t="n">
        <v>0.4573613668917537</v>
      </c>
      <c r="G25" t="n">
        <v>0.4479284998541491</v>
      </c>
      <c r="H25" t="n">
        <v>0.4866709506529737</v>
      </c>
      <c r="J25" t="n">
        <v>10260.61</v>
      </c>
      <c r="K25" t="n">
        <v>273500</v>
      </c>
      <c r="L25" t="n">
        <v>421900</v>
      </c>
      <c r="M25" t="n">
        <v>2020</v>
      </c>
    </row>
    <row r="26">
      <c r="A26" t="inlineStr">
        <is>
          <t>2021/2022</t>
        </is>
      </c>
      <c r="B26" t="inlineStr">
        <is>
          <t>Italy</t>
        </is>
      </c>
      <c r="C26" t="n">
        <v>0.1091777500181274</v>
      </c>
      <c r="D26" t="n">
        <v>0.7223629529858397</v>
      </c>
      <c r="E26" t="n">
        <v>0.6471774834016328</v>
      </c>
      <c r="F26" t="n">
        <v>0.8564814814814816</v>
      </c>
      <c r="G26" t="n">
        <v>0.4620517778819135</v>
      </c>
      <c r="H26" t="n">
        <v>0.5426758381102829</v>
      </c>
      <c r="J26" t="n">
        <v>7522.39</v>
      </c>
      <c r="K26" t="n">
        <v>329000</v>
      </c>
      <c r="L26" t="n">
        <v>457100</v>
      </c>
      <c r="M26" t="n">
        <v>2021</v>
      </c>
    </row>
    <row r="27">
      <c r="A27" t="inlineStr">
        <is>
          <t>2022/2023</t>
        </is>
      </c>
      <c r="B27" t="inlineStr">
        <is>
          <t>Italy</t>
        </is>
      </c>
      <c r="C27" t="n">
        <v>0.08383969975223624</v>
      </c>
      <c r="D27" t="n">
        <v>0.6587283039589744</v>
      </c>
      <c r="E27" t="n">
        <v>0.37369357349344</v>
      </c>
      <c r="F27" t="n">
        <v>0.4515551463065277</v>
      </c>
      <c r="G27" t="n">
        <v>0.3717659161831723</v>
      </c>
      <c r="H27" t="n">
        <v>0.3654500221530019</v>
      </c>
      <c r="J27" t="n">
        <v>6600.41</v>
      </c>
      <c r="K27" t="n">
        <v>240900</v>
      </c>
      <c r="L27" t="n">
        <v>433800</v>
      </c>
      <c r="M27" t="n">
        <v>2022</v>
      </c>
    </row>
    <row r="28">
      <c r="A28" t="inlineStr">
        <is>
          <t>2023/2024</t>
        </is>
      </c>
      <c r="B28" t="inlineStr">
        <is>
          <t>Italy</t>
        </is>
      </c>
      <c r="C28" t="n">
        <v>0.1037935040267321</v>
      </c>
      <c r="D28" t="n">
        <v>0.6259280086794017</v>
      </c>
      <c r="E28" t="n">
        <v>0.7028018679119411</v>
      </c>
      <c r="F28" t="n">
        <v>0.4669531409862902</v>
      </c>
      <c r="G28" t="n">
        <v>0.4324489786648418</v>
      </c>
      <c r="H28" t="n">
        <v>0.5003391520252847</v>
      </c>
      <c r="J28" t="n">
        <v>3001.86</v>
      </c>
      <c r="K28" t="n">
        <v>328500</v>
      </c>
      <c r="L28" t="n">
        <v>411500</v>
      </c>
      <c r="M28" t="n">
        <v>2023</v>
      </c>
    </row>
    <row r="29">
      <c r="A29" t="inlineStr">
        <is>
          <t>2024/2025</t>
        </is>
      </c>
      <c r="B29" t="inlineStr">
        <is>
          <t>Italy</t>
        </is>
      </c>
      <c r="C29" t="n">
        <v>0.07819573657585376</v>
      </c>
      <c r="D29" t="n">
        <v>0.5245015273461088</v>
      </c>
      <c r="E29" t="n">
        <v>0.8979319546364243</v>
      </c>
      <c r="F29" t="n">
        <v>0.6716288111315736</v>
      </c>
      <c r="G29" t="n">
        <v>0.4206652964960699</v>
      </c>
      <c r="H29" t="n">
        <v>0.574599510250041</v>
      </c>
      <c r="J29" t="n">
        <v>1132.31</v>
      </c>
      <c r="K29" t="n">
        <v>224000</v>
      </c>
      <c r="L29" t="n">
        <v>395000</v>
      </c>
      <c r="M29" t="n">
        <v>2024</v>
      </c>
    </row>
    <row r="30"/>
    <row r="31"/>
    <row r="32">
      <c r="A32" t="inlineStr">
        <is>
          <t>PESOS FINAIS DO ISMA (%):</t>
        </is>
      </c>
      <c r="B32" t="inlineStr">
        <is>
          <t>%</t>
        </is>
      </c>
    </row>
    <row r="33">
      <c r="A33" t="inlineStr">
        <is>
          <t xml:space="preserve">O_PCA   </t>
        </is>
      </c>
      <c r="B33" t="n">
        <v>0.2671</v>
      </c>
    </row>
    <row r="34">
      <c r="A34" t="inlineStr">
        <is>
          <t xml:space="preserve">M_PCA  </t>
        </is>
      </c>
      <c r="B34" t="n">
        <v>0.2124</v>
      </c>
    </row>
    <row r="35">
      <c r="A35" t="inlineStr">
        <is>
          <t xml:space="preserve">C_PCA  </t>
        </is>
      </c>
      <c r="B35" t="n">
        <v>0.4096</v>
      </c>
    </row>
    <row r="36">
      <c r="A36" t="inlineStr">
        <is>
          <t xml:space="preserve">E_PCA  </t>
        </is>
      </c>
      <c r="B36" t="n">
        <v>0.1109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7"/>
  <sheetViews>
    <sheetView workbookViewId="0">
      <selection activeCell="A1" sqref="A1"/>
    </sheetView>
  </sheetViews>
  <sheetFormatPr baseColWidth="8" defaultRowHeight="15"/>
  <sheetData>
    <row r="1">
      <c r="A1" s="68" t="inlineStr">
        <is>
          <t>Harvest Period</t>
        </is>
      </c>
      <c r="B1" s="68" t="inlineStr">
        <is>
          <t>Year</t>
        </is>
      </c>
      <c r="C1" s="68" t="inlineStr">
        <is>
          <t>Country</t>
        </is>
      </c>
      <c r="D1" s="68" t="inlineStr">
        <is>
          <t>Consumption</t>
        </is>
      </c>
      <c r="E1" s="68" t="inlineStr">
        <is>
          <t>Production</t>
        </is>
      </c>
      <c r="F1" s="68" t="inlineStr">
        <is>
          <t>Exportation</t>
        </is>
      </c>
      <c r="G1" s="68" t="inlineStr">
        <is>
          <t>Importation</t>
        </is>
      </c>
      <c r="H1" s="68" t="inlineStr">
        <is>
          <t>Production_Olives</t>
        </is>
      </c>
      <c r="I1" s="68" t="inlineStr">
        <is>
          <t>PIB</t>
        </is>
      </c>
      <c r="J1" s="68" t="inlineStr">
        <is>
          <t>Inflation</t>
        </is>
      </c>
      <c r="K1" s="68" t="inlineStr">
        <is>
          <t>PriceAVG</t>
        </is>
      </c>
      <c r="L1" s="68" t="inlineStr">
        <is>
          <t>Precipitation (mm)</t>
        </is>
      </c>
      <c r="M1" s="68" t="inlineStr">
        <is>
          <t>hu_mean</t>
        </is>
      </c>
      <c r="N1" s="68" t="inlineStr">
        <is>
          <t>tn_mean</t>
        </is>
      </c>
      <c r="O1" s="68" t="inlineStr">
        <is>
          <t>tx_mean</t>
        </is>
      </c>
      <c r="P1" s="68" t="inlineStr">
        <is>
          <t>Offer_PCA_v2</t>
        </is>
      </c>
      <c r="Q1" s="68" t="inlineStr">
        <is>
          <t>Market_PCA_v2</t>
        </is>
      </c>
      <c r="R1" s="68" t="inlineStr">
        <is>
          <t>Climate_PCA_v2</t>
        </is>
      </c>
      <c r="S1" s="68" t="inlineStr">
        <is>
          <t>Economic_PCA_v2</t>
        </is>
      </c>
      <c r="T1" s="68" t="inlineStr">
        <is>
          <t>ISMA_v2</t>
        </is>
      </c>
    </row>
    <row r="2">
      <c r="A2" t="inlineStr">
        <is>
          <t>2018/2019</t>
        </is>
      </c>
      <c r="B2" t="n">
        <v>2018</v>
      </c>
      <c r="C2" t="inlineStr">
        <is>
          <t>Spain</t>
        </is>
      </c>
      <c r="D2" t="inlineStr"/>
      <c r="E2" t="inlineStr"/>
      <c r="F2" t="inlineStr"/>
      <c r="G2" t="inlineStr"/>
      <c r="H2" t="inlineStr"/>
      <c r="I2" t="n">
        <v>24</v>
      </c>
      <c r="J2" t="n">
        <v>17</v>
      </c>
      <c r="K2" t="n">
        <v>2453007719886635</v>
      </c>
      <c r="L2" t="n">
        <v>82826</v>
      </c>
      <c r="M2" t="inlineStr"/>
      <c r="N2" t="inlineStr"/>
      <c r="O2" t="inlineStr"/>
      <c r="P2" t="n">
        <v>0</v>
      </c>
      <c r="Q2" t="n">
        <v>0</v>
      </c>
      <c r="R2" t="n">
        <v>0.6358188795690002</v>
      </c>
      <c r="S2" t="n">
        <v>0.5343267254390235</v>
      </c>
      <c r="T2" t="n">
        <v>0.6140541430127714</v>
      </c>
    </row>
    <row r="3">
      <c r="A3" t="inlineStr">
        <is>
          <t>2019/2020</t>
        </is>
      </c>
      <c r="B3" t="n">
        <v>2019</v>
      </c>
      <c r="C3" t="inlineStr">
        <is>
          <t>Spain</t>
        </is>
      </c>
      <c r="D3" t="inlineStr"/>
      <c r="E3" t="inlineStr"/>
      <c r="F3" t="inlineStr"/>
      <c r="G3" t="inlineStr"/>
      <c r="H3" t="inlineStr"/>
      <c r="I3" t="n">
        <v>2</v>
      </c>
      <c r="J3" t="n">
        <v>7</v>
      </c>
      <c r="K3" t="n">
        <v>1849668501610679</v>
      </c>
      <c r="L3" t="n">
        <v>62044</v>
      </c>
      <c r="M3" t="inlineStr"/>
      <c r="N3" t="inlineStr"/>
      <c r="O3" t="inlineStr"/>
      <c r="P3" t="n">
        <v>0</v>
      </c>
      <c r="Q3" t="n">
        <v>0</v>
      </c>
      <c r="R3" t="n">
        <v>0.5489493512374144</v>
      </c>
      <c r="S3" t="n">
        <v>0.6485312005451633</v>
      </c>
      <c r="T3" t="n">
        <v>0.6731106900032578</v>
      </c>
    </row>
    <row r="4">
      <c r="A4" t="inlineStr">
        <is>
          <t>2020/2021</t>
        </is>
      </c>
      <c r="B4" t="n">
        <v>2020</v>
      </c>
      <c r="C4" t="inlineStr">
        <is>
          <t>Spain</t>
        </is>
      </c>
      <c r="D4" t="inlineStr"/>
      <c r="E4" t="inlineStr"/>
      <c r="F4" t="inlineStr"/>
      <c r="G4" t="inlineStr"/>
      <c r="H4" t="inlineStr"/>
      <c r="I4" t="n">
        <v>-3</v>
      </c>
      <c r="J4" t="n">
        <v>-3</v>
      </c>
      <c r="K4" t="n">
        <v>1641204356189602</v>
      </c>
      <c r="L4" t="n">
        <v>67541</v>
      </c>
      <c r="M4" t="inlineStr"/>
      <c r="N4" t="inlineStr"/>
      <c r="O4" t="inlineStr"/>
      <c r="P4" t="n">
        <v>0</v>
      </c>
      <c r="Q4" t="n">
        <v>0</v>
      </c>
      <c r="R4" t="n">
        <v>0.5719270144670712</v>
      </c>
      <c r="S4" t="n">
        <v>0.7189394104251744</v>
      </c>
      <c r="T4" t="n">
        <v>0.7453554821189489</v>
      </c>
    </row>
    <row r="5">
      <c r="A5" t="inlineStr">
        <is>
          <t>2021/2022</t>
        </is>
      </c>
      <c r="B5" t="n">
        <v>2021</v>
      </c>
      <c r="C5" t="inlineStr">
        <is>
          <t>Spain</t>
        </is>
      </c>
      <c r="D5" t="inlineStr"/>
      <c r="E5" t="inlineStr"/>
      <c r="F5" t="inlineStr"/>
      <c r="G5" t="inlineStr"/>
      <c r="H5" t="inlineStr"/>
      <c r="I5" t="n">
        <v>51</v>
      </c>
      <c r="J5" t="n">
        <v>31</v>
      </c>
      <c r="K5" t="n">
        <v>2537559459459457</v>
      </c>
      <c r="L5" t="n">
        <v>66164</v>
      </c>
      <c r="M5" t="inlineStr"/>
      <c r="N5" t="inlineStr"/>
      <c r="O5" t="inlineStr"/>
      <c r="P5" t="n">
        <v>0</v>
      </c>
      <c r="Q5" t="n">
        <v>0</v>
      </c>
      <c r="R5" t="n">
        <v>0.5661711035579867</v>
      </c>
      <c r="S5" t="n">
        <v>0.3842302136939155</v>
      </c>
      <c r="T5" t="n">
        <v>0.4503668034655837</v>
      </c>
    </row>
    <row r="6">
      <c r="A6" t="inlineStr">
        <is>
          <t>2022/2023</t>
        </is>
      </c>
      <c r="B6" t="n">
        <v>2022</v>
      </c>
      <c r="C6" t="inlineStr">
        <is>
          <t>Spain</t>
        </is>
      </c>
      <c r="D6" t="inlineStr"/>
      <c r="E6" t="inlineStr"/>
      <c r="F6" t="inlineStr"/>
      <c r="G6" t="inlineStr"/>
      <c r="H6" t="inlineStr"/>
      <c r="I6" t="n">
        <v>55</v>
      </c>
      <c r="J6" t="n">
        <v>84</v>
      </c>
      <c r="K6" t="n">
        <v>3413670419161679</v>
      </c>
      <c r="L6" t="n">
        <v>63866</v>
      </c>
      <c r="M6" t="inlineStr"/>
      <c r="N6" t="inlineStr"/>
      <c r="O6" t="inlineStr"/>
      <c r="P6" t="n">
        <v>0</v>
      </c>
      <c r="Q6" t="n">
        <v>0</v>
      </c>
      <c r="R6" t="n">
        <v>0.5565653785985996</v>
      </c>
      <c r="S6" t="n">
        <v>0.06903234648208559</v>
      </c>
      <c r="T6" t="n">
        <v>0.1706142791249939</v>
      </c>
    </row>
    <row r="7">
      <c r="A7" t="inlineStr">
        <is>
          <t>2023/2024</t>
        </is>
      </c>
      <c r="B7" t="n">
        <v>2023</v>
      </c>
      <c r="C7" t="inlineStr">
        <is>
          <t>Spain</t>
        </is>
      </c>
      <c r="D7" t="inlineStr"/>
      <c r="E7" t="inlineStr"/>
      <c r="F7" t="inlineStr"/>
      <c r="G7" t="inlineStr"/>
      <c r="H7" t="inlineStr"/>
      <c r="I7" t="n">
        <v>28</v>
      </c>
      <c r="J7" t="n">
        <v>35</v>
      </c>
      <c r="K7" t="n">
        <v>561969357311321</v>
      </c>
      <c r="L7" t="n">
        <v>5829</v>
      </c>
      <c r="M7" t="inlineStr"/>
      <c r="N7" t="inlineStr"/>
      <c r="O7" t="inlineStr"/>
      <c r="P7" t="n">
        <v>0</v>
      </c>
      <c r="Q7" t="n">
        <v>0</v>
      </c>
      <c r="R7" t="n">
        <v>0.313968572911936</v>
      </c>
      <c r="S7" t="n">
        <v>0.4204732021332767</v>
      </c>
      <c r="T7" t="n">
        <v>0.3639264789527052</v>
      </c>
    </row>
    <row r="8">
      <c r="A8" t="inlineStr">
        <is>
          <t>2024/2025</t>
        </is>
      </c>
      <c r="B8" t="n">
        <v>2024</v>
      </c>
      <c r="C8" t="inlineStr">
        <is>
          <t>Spain</t>
        </is>
      </c>
      <c r="D8" t="inlineStr"/>
      <c r="E8" t="inlineStr"/>
      <c r="F8" t="inlineStr"/>
      <c r="G8" t="inlineStr"/>
      <c r="H8" t="inlineStr"/>
      <c r="I8" t="n">
        <v>32</v>
      </c>
      <c r="J8" t="n">
        <v>28</v>
      </c>
      <c r="K8" t="n">
        <v>6301010757211538</v>
      </c>
      <c r="L8" t="n">
        <v>70535</v>
      </c>
      <c r="M8" t="inlineStr"/>
      <c r="N8" t="inlineStr"/>
      <c r="O8" t="inlineStr"/>
      <c r="P8" t="n">
        <v>0</v>
      </c>
      <c r="Q8" t="n">
        <v>0</v>
      </c>
      <c r="R8" t="n">
        <v>0.5844420451582832</v>
      </c>
      <c r="S8" t="n">
        <v>0.4504370673318748</v>
      </c>
      <c r="T8" t="n">
        <v>0.5167387920452153</v>
      </c>
    </row>
    <row r="9">
      <c r="A9" t="inlineStr">
        <is>
          <t>2025/2026</t>
        </is>
      </c>
      <c r="B9" t="n">
        <v>2025</v>
      </c>
      <c r="C9" t="inlineStr">
        <is>
          <t>Spain</t>
        </is>
      </c>
      <c r="D9" t="inlineStr"/>
      <c r="E9" t="inlineStr"/>
      <c r="F9" t="inlineStr"/>
      <c r="G9" t="inlineStr"/>
      <c r="H9" t="inlineStr"/>
      <c r="I9" t="inlineStr"/>
      <c r="J9" t="inlineStr"/>
      <c r="K9" t="n">
        <v>3415579363207547</v>
      </c>
      <c r="L9" t="inlineStr"/>
      <c r="M9" t="inlineStr"/>
      <c r="N9" t="inlineStr"/>
      <c r="O9" t="inlineStr"/>
      <c r="P9" t="n">
        <v>0</v>
      </c>
      <c r="Q9" t="n">
        <v>0</v>
      </c>
      <c r="R9" t="n">
        <v>0.6061129049778542</v>
      </c>
      <c r="S9" t="n">
        <v>0.5057439926417991</v>
      </c>
      <c r="T9" t="n">
        <v>0.5751840996723847</v>
      </c>
    </row>
    <row r="10">
      <c r="A10" t="inlineStr">
        <is>
          <t>2018/2019</t>
        </is>
      </c>
      <c r="B10" t="n">
        <v>2018</v>
      </c>
      <c r="C10" t="inlineStr">
        <is>
          <t>Portugal</t>
        </is>
      </c>
      <c r="D10" t="inlineStr"/>
      <c r="E10" t="inlineStr"/>
      <c r="F10" t="inlineStr"/>
      <c r="G10" t="inlineStr"/>
      <c r="H10" t="inlineStr"/>
      <c r="I10" t="n">
        <v>29</v>
      </c>
      <c r="J10" t="n">
        <v>1</v>
      </c>
      <c r="K10" t="n">
        <v>3095344827586207</v>
      </c>
      <c r="L10" t="n">
        <v>88688</v>
      </c>
      <c r="M10" t="n">
        <v>77.58491825469552</v>
      </c>
      <c r="N10" t="n">
        <v>13.56265723476671</v>
      </c>
      <c r="O10" t="n">
        <v>21.24046535753224</v>
      </c>
      <c r="P10" t="n">
        <v>0</v>
      </c>
      <c r="Q10" t="n">
        <v>0</v>
      </c>
      <c r="R10" t="n">
        <v>1</v>
      </c>
      <c r="S10" t="n">
        <v>0.6134885996035313</v>
      </c>
      <c r="T10" t="n">
        <v>0.853707255385751</v>
      </c>
    </row>
    <row r="11">
      <c r="A11" t="inlineStr">
        <is>
          <t>2019/2020</t>
        </is>
      </c>
      <c r="B11" t="n">
        <v>2019</v>
      </c>
      <c r="C11" t="inlineStr">
        <is>
          <t>Portugal</t>
        </is>
      </c>
      <c r="D11" t="inlineStr"/>
      <c r="E11" t="inlineStr"/>
      <c r="F11" t="inlineStr"/>
      <c r="G11" t="inlineStr"/>
      <c r="H11" t="inlineStr"/>
      <c r="I11" t="n">
        <v>27</v>
      </c>
      <c r="J11" t="n">
        <v>3</v>
      </c>
      <c r="K11" t="n">
        <v>2704256756756757</v>
      </c>
      <c r="L11" t="n">
        <v>70353</v>
      </c>
      <c r="M11" t="n">
        <v>75.00599145495202</v>
      </c>
      <c r="N11" t="n">
        <v>13.80378052045221</v>
      </c>
      <c r="O11" t="n">
        <v>21.71210906668885</v>
      </c>
      <c r="P11" t="n">
        <v>0</v>
      </c>
      <c r="Q11" t="n">
        <v>0</v>
      </c>
      <c r="R11" t="n">
        <v>0.7553109425488905</v>
      </c>
      <c r="S11" t="n">
        <v>0.6071357103144929</v>
      </c>
      <c r="T11" t="n">
        <v>0.7335870511316112</v>
      </c>
    </row>
    <row r="12">
      <c r="A12" t="inlineStr">
        <is>
          <t>2020/2021</t>
        </is>
      </c>
      <c r="B12" t="n">
        <v>2020</v>
      </c>
      <c r="C12" t="inlineStr">
        <is>
          <t>Portugal</t>
        </is>
      </c>
      <c r="D12" t="inlineStr"/>
      <c r="E12" t="inlineStr"/>
      <c r="F12" t="inlineStr"/>
      <c r="G12" t="inlineStr"/>
      <c r="H12" t="inlineStr"/>
      <c r="I12" t="n">
        <v>-82</v>
      </c>
      <c r="J12" t="n">
        <v>0</v>
      </c>
      <c r="K12" t="n">
        <v>2399397590361446</v>
      </c>
      <c r="L12" t="n">
        <v>71088</v>
      </c>
      <c r="M12" t="n">
        <v>76.83307474214736</v>
      </c>
      <c r="N12" t="n">
        <v>13.84183026744368</v>
      </c>
      <c r="O12" t="n">
        <v>22.92073714928549</v>
      </c>
      <c r="P12" t="n">
        <v>0</v>
      </c>
      <c r="Q12" t="n">
        <v>0</v>
      </c>
      <c r="R12" t="n">
        <v>0.726833811347164</v>
      </c>
      <c r="S12" t="n">
        <v>0.9052051445613682</v>
      </c>
      <c r="T12" t="n">
        <v>0.9805499359760155</v>
      </c>
    </row>
    <row r="13">
      <c r="A13" t="inlineStr">
        <is>
          <t>2021/2022</t>
        </is>
      </c>
      <c r="B13" t="n">
        <v>2021</v>
      </c>
      <c r="C13" t="inlineStr">
        <is>
          <t>Portugal</t>
        </is>
      </c>
      <c r="D13" t="inlineStr"/>
      <c r="E13" t="inlineStr"/>
      <c r="F13" t="inlineStr"/>
      <c r="G13" t="inlineStr"/>
      <c r="H13" t="inlineStr"/>
      <c r="I13" t="n">
        <v>56</v>
      </c>
      <c r="J13" t="n">
        <v>13</v>
      </c>
      <c r="K13" t="n">
        <v>2946031801526717</v>
      </c>
      <c r="L13" t="n">
        <v>73405</v>
      </c>
      <c r="M13" t="n">
        <v>74.60546482002343</v>
      </c>
      <c r="N13" t="n">
        <v>11.35336963852281</v>
      </c>
      <c r="O13" t="n">
        <v>22.27369811436902</v>
      </c>
      <c r="P13" t="n">
        <v>0</v>
      </c>
      <c r="Q13" t="n">
        <v>0</v>
      </c>
      <c r="R13" t="n">
        <v>0.4412510683484649</v>
      </c>
      <c r="S13" t="n">
        <v>0.4748974789387708</v>
      </c>
      <c r="T13" t="n">
        <v>0.4710522262240076</v>
      </c>
    </row>
    <row r="14">
      <c r="A14" t="inlineStr">
        <is>
          <t>2022/2023</t>
        </is>
      </c>
      <c r="B14" t="n">
        <v>2022</v>
      </c>
      <c r="C14" t="inlineStr">
        <is>
          <t>Portugal</t>
        </is>
      </c>
      <c r="D14" t="inlineStr"/>
      <c r="E14" t="inlineStr"/>
      <c r="F14" t="inlineStr"/>
      <c r="G14" t="inlineStr"/>
      <c r="H14" t="inlineStr"/>
      <c r="I14" t="n">
        <v>7</v>
      </c>
      <c r="J14" t="n">
        <v>78</v>
      </c>
      <c r="K14" t="n">
        <v>33648511875</v>
      </c>
      <c r="L14" t="inlineStr"/>
      <c r="M14" t="n">
        <v>74.95656157063914</v>
      </c>
      <c r="N14" t="n">
        <v>12.44350660925042</v>
      </c>
      <c r="O14" t="n">
        <v>23.10241041052831</v>
      </c>
      <c r="P14" t="n">
        <v>0</v>
      </c>
      <c r="Q14" t="n">
        <v>0</v>
      </c>
      <c r="R14" t="n">
        <v>0.4859205244105965</v>
      </c>
      <c r="S14" t="n">
        <v>0.2272085627145503</v>
      </c>
      <c r="T14" t="n">
        <v>0.2756672844370143</v>
      </c>
    </row>
    <row r="15">
      <c r="A15" t="inlineStr">
        <is>
          <t>2023/2024</t>
        </is>
      </c>
      <c r="B15" t="n">
        <v>2023</v>
      </c>
      <c r="C15" t="inlineStr">
        <is>
          <t>Portugal</t>
        </is>
      </c>
      <c r="D15" t="inlineStr"/>
      <c r="E15" t="inlineStr"/>
      <c r="F15" t="inlineStr"/>
      <c r="G15" t="inlineStr"/>
      <c r="H15" t="inlineStr"/>
      <c r="I15" t="n">
        <v>26</v>
      </c>
      <c r="J15" t="n">
        <v>43</v>
      </c>
      <c r="K15" t="n">
        <v>5897307679487179</v>
      </c>
      <c r="L15" t="n">
        <v>7211</v>
      </c>
      <c r="M15" t="n">
        <v>72.76611299906692</v>
      </c>
      <c r="N15" t="n">
        <v>12.05528740294992</v>
      </c>
      <c r="O15" t="n">
        <v>23.48556112785862</v>
      </c>
      <c r="P15" t="n">
        <v>0</v>
      </c>
      <c r="Q15" t="n">
        <v>0</v>
      </c>
      <c r="R15" t="n">
        <v>0</v>
      </c>
      <c r="S15" t="n">
        <v>0.3796041396031954</v>
      </c>
      <c r="T15" t="n">
        <v>0.181224918379426</v>
      </c>
    </row>
    <row r="16">
      <c r="A16" t="inlineStr">
        <is>
          <t>2024/2025</t>
        </is>
      </c>
      <c r="B16" t="n">
        <v>2024</v>
      </c>
      <c r="C16" t="inlineStr">
        <is>
          <t>Portugal</t>
        </is>
      </c>
      <c r="D16" t="inlineStr"/>
      <c r="E16" t="inlineStr"/>
      <c r="F16" t="inlineStr"/>
      <c r="G16" t="inlineStr"/>
      <c r="H16" t="inlineStr"/>
      <c r="I16" t="n">
        <v>19</v>
      </c>
      <c r="J16" t="n">
        <v>24</v>
      </c>
      <c r="K16" t="n">
        <v>8409842519685039</v>
      </c>
      <c r="L16" t="n">
        <v>77413</v>
      </c>
      <c r="M16" t="n">
        <v>76.67796720739913</v>
      </c>
      <c r="N16" t="n">
        <v>11.99060084194434</v>
      </c>
      <c r="O16" t="n">
        <v>22.96152958843878</v>
      </c>
      <c r="P16" t="n">
        <v>0</v>
      </c>
      <c r="Q16" t="n">
        <v>0</v>
      </c>
      <c r="R16" t="n">
        <v>0.556930173364501</v>
      </c>
      <c r="S16" t="n">
        <v>0.5069391111360801</v>
      </c>
      <c r="T16" t="n">
        <v>0.5531986120065717</v>
      </c>
    </row>
    <row r="17">
      <c r="A17" t="inlineStr">
        <is>
          <t>2025/2026</t>
        </is>
      </c>
      <c r="B17" t="n">
        <v>2025</v>
      </c>
      <c r="C17" t="inlineStr">
        <is>
          <t>Portugal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n">
        <v>5874015748031496</v>
      </c>
      <c r="L17" t="inlineStr"/>
      <c r="M17" t="inlineStr"/>
      <c r="N17" t="inlineStr"/>
      <c r="O17" t="inlineStr"/>
      <c r="P17" t="n">
        <v>0</v>
      </c>
      <c r="Q17" t="n">
        <v>0</v>
      </c>
      <c r="R17" t="n">
        <v>0.6061129049778542</v>
      </c>
      <c r="S17" t="n">
        <v>0.5057439926417991</v>
      </c>
      <c r="T17" t="n">
        <v>0.5751840996723847</v>
      </c>
    </row>
    <row r="18">
      <c r="A18" t="inlineStr">
        <is>
          <t>2018/2019</t>
        </is>
      </c>
      <c r="B18" t="n">
        <v>2018</v>
      </c>
      <c r="C18" t="inlineStr">
        <is>
          <t>Greece</t>
        </is>
      </c>
      <c r="D18" t="inlineStr"/>
      <c r="E18" t="inlineStr"/>
      <c r="F18" t="inlineStr"/>
      <c r="G18" t="inlineStr"/>
      <c r="H18" t="inlineStr"/>
      <c r="I18" t="n">
        <v>21</v>
      </c>
      <c r="J18" t="n">
        <v>6</v>
      </c>
      <c r="K18" t="n">
        <v>2692549693251534</v>
      </c>
      <c r="L18" t="n">
        <v>91335</v>
      </c>
      <c r="M18" t="inlineStr"/>
      <c r="N18" t="inlineStr"/>
      <c r="O18" t="inlineStr"/>
      <c r="P18" t="n">
        <v>0</v>
      </c>
      <c r="Q18" t="n">
        <v>0</v>
      </c>
      <c r="R18" t="n">
        <v>0.6713868141553471</v>
      </c>
      <c r="S18" t="n">
        <v>0.6053351290678992</v>
      </c>
      <c r="T18" t="n">
        <v>0.6927182961304966</v>
      </c>
    </row>
    <row r="19">
      <c r="A19" t="inlineStr">
        <is>
          <t>2019/2020</t>
        </is>
      </c>
      <c r="B19" t="n">
        <v>2019</v>
      </c>
      <c r="C19" t="inlineStr">
        <is>
          <t>Greece</t>
        </is>
      </c>
      <c r="D19" t="inlineStr"/>
      <c r="E19" t="inlineStr"/>
      <c r="F19" t="inlineStr"/>
      <c r="G19" t="inlineStr"/>
      <c r="H19" t="inlineStr"/>
      <c r="I19" t="n">
        <v>23</v>
      </c>
      <c r="J19" t="n">
        <v>3</v>
      </c>
      <c r="K19" t="n">
        <v>2294070006269592</v>
      </c>
      <c r="L19" t="n">
        <v>87243</v>
      </c>
      <c r="M19" t="inlineStr"/>
      <c r="N19" t="inlineStr"/>
      <c r="O19" t="inlineStr"/>
      <c r="P19" t="n">
        <v>0</v>
      </c>
      <c r="Q19" t="n">
        <v>0</v>
      </c>
      <c r="R19" t="n">
        <v>0.6542821028699634</v>
      </c>
      <c r="S19" t="n">
        <v>0.6174407138971113</v>
      </c>
      <c r="T19" t="n">
        <v>0.6952807621094621</v>
      </c>
    </row>
    <row r="20">
      <c r="A20" t="inlineStr">
        <is>
          <t>2020/2021</t>
        </is>
      </c>
      <c r="B20" t="n">
        <v>2020</v>
      </c>
      <c r="C20" t="inlineStr">
        <is>
          <t>Greece</t>
        </is>
      </c>
      <c r="D20" t="inlineStr"/>
      <c r="E20" t="inlineStr"/>
      <c r="F20" t="inlineStr"/>
      <c r="G20" t="inlineStr"/>
      <c r="H20" t="inlineStr"/>
      <c r="I20" t="n">
        <v>-92</v>
      </c>
      <c r="J20" t="n">
        <v>-12</v>
      </c>
      <c r="K20" t="n">
        <v>1773695252059308</v>
      </c>
      <c r="L20" t="n">
        <v>72242</v>
      </c>
      <c r="M20" t="inlineStr"/>
      <c r="N20" t="inlineStr"/>
      <c r="O20" t="inlineStr"/>
      <c r="P20" t="n">
        <v>0</v>
      </c>
      <c r="Q20" t="n">
        <v>0</v>
      </c>
      <c r="R20" t="n">
        <v>0.5915773682678018</v>
      </c>
      <c r="S20" t="n">
        <v>1</v>
      </c>
      <c r="T20" t="n">
        <v>1</v>
      </c>
    </row>
    <row r="21">
      <c r="A21" t="inlineStr">
        <is>
          <t>2021/2022</t>
        </is>
      </c>
      <c r="B21" t="n">
        <v>2021</v>
      </c>
      <c r="C21" t="inlineStr">
        <is>
          <t>Greece</t>
        </is>
      </c>
      <c r="D21" t="inlineStr"/>
      <c r="E21" t="inlineStr"/>
      <c r="F21" t="inlineStr"/>
      <c r="G21" t="inlineStr"/>
      <c r="H21" t="inlineStr"/>
      <c r="I21" t="n">
        <v>87</v>
      </c>
      <c r="J21" t="n">
        <v>12</v>
      </c>
      <c r="K21" t="n">
        <v>2605705895121952</v>
      </c>
      <c r="L21" t="n">
        <v>90071</v>
      </c>
      <c r="M21" t="inlineStr"/>
      <c r="N21" t="inlineStr"/>
      <c r="O21" t="inlineStr"/>
      <c r="P21" t="n">
        <v>0</v>
      </c>
      <c r="Q21" t="n">
        <v>0</v>
      </c>
      <c r="R21" t="n">
        <v>0.6661032474239872</v>
      </c>
      <c r="S21" t="n">
        <v>0.4007863967136513</v>
      </c>
      <c r="T21" t="n">
        <v>0.5116168122978282</v>
      </c>
    </row>
    <row r="22">
      <c r="A22" t="inlineStr">
        <is>
          <t>2022/2023</t>
        </is>
      </c>
      <c r="B22" t="n">
        <v>2022</v>
      </c>
      <c r="C22" t="inlineStr">
        <is>
          <t>Greece</t>
        </is>
      </c>
      <c r="D22" t="inlineStr"/>
      <c r="E22" t="inlineStr"/>
      <c r="F22" t="inlineStr"/>
      <c r="G22" t="inlineStr"/>
      <c r="H22" t="inlineStr"/>
      <c r="I22" t="n">
        <v>55</v>
      </c>
      <c r="J22" t="n">
        <v>96</v>
      </c>
      <c r="K22" t="n">
        <v>312265616302187</v>
      </c>
      <c r="L22" t="n">
        <v>7496</v>
      </c>
      <c r="M22" t="inlineStr"/>
      <c r="N22" t="inlineStr"/>
      <c r="O22" t="inlineStr"/>
      <c r="P22" t="n">
        <v>0</v>
      </c>
      <c r="Q22" t="n">
        <v>0</v>
      </c>
      <c r="R22" t="n">
        <v>0.3209366945426141</v>
      </c>
      <c r="S22" t="n">
        <v>0</v>
      </c>
      <c r="T22" t="n">
        <v>0</v>
      </c>
    </row>
    <row r="23">
      <c r="A23" t="inlineStr">
        <is>
          <t>2023/2024</t>
        </is>
      </c>
      <c r="B23" t="n">
        <v>2023</v>
      </c>
      <c r="C23" t="inlineStr">
        <is>
          <t>Greece</t>
        </is>
      </c>
      <c r="D23" t="inlineStr"/>
      <c r="E23" t="inlineStr"/>
      <c r="F23" t="inlineStr"/>
      <c r="G23" t="inlineStr"/>
      <c r="H23" t="inlineStr"/>
      <c r="I23" t="n">
        <v>21</v>
      </c>
      <c r="J23" t="n">
        <v>35</v>
      </c>
      <c r="K23" t="n">
        <v>5491366097323603</v>
      </c>
      <c r="L23" t="n">
        <v>83868</v>
      </c>
      <c r="M23" t="inlineStr"/>
      <c r="N23" t="inlineStr"/>
      <c r="O23" t="inlineStr"/>
      <c r="P23" t="n">
        <v>0</v>
      </c>
      <c r="Q23" t="n">
        <v>0</v>
      </c>
      <c r="R23" t="n">
        <v>0.6401744780927954</v>
      </c>
      <c r="S23" t="n">
        <v>0.4385069584028591</v>
      </c>
      <c r="T23" t="n">
        <v>0.5324164788827185</v>
      </c>
    </row>
    <row r="24">
      <c r="A24" t="inlineStr">
        <is>
          <t>2024/2025</t>
        </is>
      </c>
      <c r="B24" t="n">
        <v>2024</v>
      </c>
      <c r="C24" t="inlineStr">
        <is>
          <t>Greece</t>
        </is>
      </c>
      <c r="D24" t="inlineStr"/>
      <c r="E24" t="inlineStr"/>
      <c r="F24" t="inlineStr"/>
      <c r="G24" t="inlineStr"/>
      <c r="H24" t="inlineStr"/>
      <c r="I24" t="n">
        <v>21</v>
      </c>
      <c r="J24" t="n">
        <v>27</v>
      </c>
      <c r="K24" t="n">
        <v>6523239278378377</v>
      </c>
      <c r="L24" t="n">
        <v>70526</v>
      </c>
      <c r="M24" t="inlineStr"/>
      <c r="N24" t="inlineStr"/>
      <c r="O24" t="inlineStr"/>
      <c r="P24" t="n">
        <v>0</v>
      </c>
      <c r="Q24" t="n">
        <v>0</v>
      </c>
      <c r="R24" t="n">
        <v>0.5844044248255441</v>
      </c>
      <c r="S24" t="n">
        <v>0.4845285227242494</v>
      </c>
      <c r="T24" t="n">
        <v>0.5464924308933643</v>
      </c>
    </row>
    <row r="25">
      <c r="A25" t="inlineStr">
        <is>
          <t>2025/2026</t>
        </is>
      </c>
      <c r="B25" t="n">
        <v>2025</v>
      </c>
      <c r="C25" t="inlineStr">
        <is>
          <t>Greece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n">
        <v>3873</v>
      </c>
      <c r="L25" t="inlineStr"/>
      <c r="M25" t="inlineStr"/>
      <c r="N25" t="inlineStr"/>
      <c r="O25" t="inlineStr"/>
      <c r="P25" t="n">
        <v>0</v>
      </c>
      <c r="Q25" t="n">
        <v>0</v>
      </c>
      <c r="R25" t="n">
        <v>0.6061129049778542</v>
      </c>
      <c r="S25" t="n">
        <v>0.5057439926417991</v>
      </c>
      <c r="T25" t="n">
        <v>0.5751840996723847</v>
      </c>
    </row>
    <row r="26">
      <c r="A26" t="inlineStr">
        <is>
          <t>2018/2019</t>
        </is>
      </c>
      <c r="B26" t="n">
        <v>2018</v>
      </c>
      <c r="C26" t="inlineStr">
        <is>
          <t>Italy</t>
        </is>
      </c>
      <c r="D26" t="inlineStr"/>
      <c r="E26" t="inlineStr"/>
      <c r="F26" t="inlineStr"/>
      <c r="G26" t="inlineStr"/>
      <c r="H26" t="inlineStr"/>
      <c r="I26" t="n">
        <v>9</v>
      </c>
      <c r="J26" t="n">
        <v>11</v>
      </c>
      <c r="K26" t="n">
        <v>31612</v>
      </c>
      <c r="L26" t="n">
        <v>121248</v>
      </c>
      <c r="M26" t="inlineStr"/>
      <c r="N26" t="inlineStr"/>
      <c r="O26" t="inlineStr"/>
      <c r="P26" t="n">
        <v>0</v>
      </c>
      <c r="Q26" t="n">
        <v>0</v>
      </c>
      <c r="R26" t="n">
        <v>0.7964242600692499</v>
      </c>
      <c r="S26" t="n">
        <v>0.6074866621148856</v>
      </c>
      <c r="T26" t="n">
        <v>0.7531442898767744</v>
      </c>
    </row>
    <row r="27">
      <c r="A27" t="inlineStr">
        <is>
          <t>2019/2020</t>
        </is>
      </c>
      <c r="B27" t="n">
        <v>2019</v>
      </c>
      <c r="C27" t="inlineStr">
        <is>
          <t>Italy</t>
        </is>
      </c>
      <c r="D27" t="inlineStr"/>
      <c r="E27" t="inlineStr"/>
      <c r="F27" t="inlineStr"/>
      <c r="G27" t="inlineStr"/>
      <c r="H27" t="inlineStr"/>
      <c r="I27" t="n">
        <v>6</v>
      </c>
      <c r="J27" t="n">
        <v>6</v>
      </c>
      <c r="K27" t="n">
        <v>2880784981386394</v>
      </c>
      <c r="L27" t="n">
        <v>117085</v>
      </c>
      <c r="M27" t="inlineStr"/>
      <c r="N27" t="inlineStr"/>
      <c r="O27" t="inlineStr"/>
      <c r="P27" t="n">
        <v>0</v>
      </c>
      <c r="Q27" t="n">
        <v>0</v>
      </c>
      <c r="R27" t="n">
        <v>0.779022766158924</v>
      </c>
      <c r="S27" t="n">
        <v>0.6439788925027187</v>
      </c>
      <c r="T27" t="n">
        <v>0.7768640667007186</v>
      </c>
    </row>
    <row r="28">
      <c r="A28" t="inlineStr">
        <is>
          <t>2020/2021</t>
        </is>
      </c>
      <c r="B28" t="n">
        <v>2020</v>
      </c>
      <c r="C28" t="inlineStr">
        <is>
          <t>Italy</t>
        </is>
      </c>
      <c r="D28" t="inlineStr"/>
      <c r="E28" t="inlineStr"/>
      <c r="F28" t="inlineStr"/>
      <c r="G28" t="inlineStr"/>
      <c r="H28" t="inlineStr"/>
      <c r="I28" t="n">
        <v>-89</v>
      </c>
      <c r="J28" t="n">
        <v>-1</v>
      </c>
      <c r="K28" t="n">
        <v>2262265293093095</v>
      </c>
      <c r="L28" t="n">
        <v>98135</v>
      </c>
      <c r="M28" t="inlineStr"/>
      <c r="N28" t="inlineStr"/>
      <c r="O28" t="inlineStr"/>
      <c r="P28" t="n">
        <v>0</v>
      </c>
      <c r="Q28" t="n">
        <v>0</v>
      </c>
      <c r="R28" t="n">
        <v>0.6998110655582335</v>
      </c>
      <c r="S28" t="n">
        <v>0.9289915963711244</v>
      </c>
      <c r="T28" t="n">
        <v>0.9886690372368387</v>
      </c>
    </row>
    <row r="29">
      <c r="A29" t="inlineStr">
        <is>
          <t>2021/2022</t>
        </is>
      </c>
      <c r="B29" t="n">
        <v>2021</v>
      </c>
      <c r="C29" t="inlineStr">
        <is>
          <t>Italy</t>
        </is>
      </c>
      <c r="D29" t="inlineStr"/>
      <c r="E29" t="inlineStr"/>
      <c r="F29" t="inlineStr"/>
      <c r="G29" t="inlineStr"/>
      <c r="H29" t="inlineStr"/>
      <c r="I29" t="n">
        <v>89</v>
      </c>
      <c r="J29" t="n">
        <v>19</v>
      </c>
      <c r="K29" t="n">
        <v>3053089123867069</v>
      </c>
      <c r="L29" t="n">
        <v>99035</v>
      </c>
      <c r="M29" t="inlineStr"/>
      <c r="N29" t="inlineStr"/>
      <c r="O29" t="inlineStr"/>
      <c r="P29" t="n">
        <v>0</v>
      </c>
      <c r="Q29" t="n">
        <v>0</v>
      </c>
      <c r="R29" t="n">
        <v>0.7035730988321449</v>
      </c>
      <c r="S29" t="n">
        <v>0.3553650261411255</v>
      </c>
      <c r="T29" t="n">
        <v>0.4894961704572814</v>
      </c>
    </row>
    <row r="30">
      <c r="A30" t="inlineStr">
        <is>
          <t>2022/2023</t>
        </is>
      </c>
      <c r="B30" t="n">
        <v>2022</v>
      </c>
      <c r="C30" t="inlineStr">
        <is>
          <t>Italy</t>
        </is>
      </c>
      <c r="D30" t="inlineStr"/>
      <c r="E30" t="inlineStr"/>
      <c r="F30" t="inlineStr"/>
      <c r="G30" t="inlineStr"/>
      <c r="H30" t="inlineStr"/>
      <c r="I30" t="n">
        <v>48</v>
      </c>
      <c r="J30" t="n">
        <v>82</v>
      </c>
      <c r="K30" t="n">
        <v>3622600823045267</v>
      </c>
      <c r="L30" t="n">
        <v>81817</v>
      </c>
      <c r="M30" t="inlineStr"/>
      <c r="N30" t="inlineStr"/>
      <c r="O30" t="inlineStr"/>
      <c r="P30" t="n">
        <v>0</v>
      </c>
      <c r="Q30" t="n">
        <v>0</v>
      </c>
      <c r="R30" t="n">
        <v>0.6316012222652484</v>
      </c>
      <c r="S30" t="n">
        <v>0.09857149383201561</v>
      </c>
      <c r="T30" t="n">
        <v>0.2315446412336641</v>
      </c>
    </row>
    <row r="31">
      <c r="A31" t="inlineStr">
        <is>
          <t>2023/2024</t>
        </is>
      </c>
      <c r="B31" t="n">
        <v>2023</v>
      </c>
      <c r="C31" t="inlineStr">
        <is>
          <t>Italy</t>
        </is>
      </c>
      <c r="D31" t="inlineStr"/>
      <c r="E31" t="inlineStr"/>
      <c r="F31" t="inlineStr"/>
      <c r="G31" t="inlineStr"/>
      <c r="H31" t="inlineStr"/>
      <c r="I31" t="n">
        <v>1</v>
      </c>
      <c r="J31" t="n">
        <v>56</v>
      </c>
      <c r="K31" t="n">
        <v>5945806451612904</v>
      </c>
      <c r="L31" t="n">
        <v>102537</v>
      </c>
      <c r="M31" t="inlineStr"/>
      <c r="N31" t="inlineStr"/>
      <c r="O31" t="inlineStr"/>
      <c r="P31" t="n">
        <v>0</v>
      </c>
      <c r="Q31" t="n">
        <v>0</v>
      </c>
      <c r="R31" t="n">
        <v>0.7182115883046313</v>
      </c>
      <c r="S31" t="n">
        <v>0.3692253699723017</v>
      </c>
      <c r="T31" t="n">
        <v>0.5084543546738154</v>
      </c>
    </row>
    <row r="32">
      <c r="A32" t="inlineStr">
        <is>
          <t>2024/2025</t>
        </is>
      </c>
      <c r="B32" t="n">
        <v>2024</v>
      </c>
      <c r="C32" t="inlineStr">
        <is>
          <t>Italy</t>
        </is>
      </c>
      <c r="D32" t="inlineStr"/>
      <c r="E32" t="inlineStr"/>
      <c r="F32" t="inlineStr"/>
      <c r="G32" t="inlineStr"/>
      <c r="H32" t="inlineStr"/>
      <c r="I32" t="n">
        <v>7</v>
      </c>
      <c r="J32" t="n">
        <v>1</v>
      </c>
      <c r="K32" t="n">
        <v>7171768867924528</v>
      </c>
      <c r="L32" t="n">
        <v>114822</v>
      </c>
      <c r="M32" t="inlineStr"/>
      <c r="N32" t="inlineStr"/>
      <c r="O32" t="inlineStr"/>
      <c r="P32" t="n">
        <v>0</v>
      </c>
      <c r="Q32" t="n">
        <v>0</v>
      </c>
      <c r="R32" t="n">
        <v>0.7695633424935222</v>
      </c>
      <c r="S32" t="n">
        <v>0.6701661193079329</v>
      </c>
      <c r="T32" t="n">
        <v>0.7953034980699371</v>
      </c>
    </row>
    <row r="33">
      <c r="A33" t="inlineStr">
        <is>
          <t>2025/2026</t>
        </is>
      </c>
      <c r="B33" t="n">
        <v>2025</v>
      </c>
      <c r="C33" t="inlineStr">
        <is>
          <t>Italy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n">
        <v>5784256</v>
      </c>
      <c r="L33" t="inlineStr"/>
      <c r="M33" t="inlineStr"/>
      <c r="N33" t="inlineStr"/>
      <c r="O33" t="inlineStr"/>
      <c r="P33" t="n">
        <v>0</v>
      </c>
      <c r="Q33" t="n">
        <v>0</v>
      </c>
      <c r="R33" t="n">
        <v>0.6061129049778542</v>
      </c>
      <c r="S33" t="n">
        <v>0.5057439926417991</v>
      </c>
      <c r="T33" t="n">
        <v>0.5751840996723847</v>
      </c>
    </row>
    <row r="34">
      <c r="A34" t="inlineStr">
        <is>
          <t>2018/2019</t>
        </is>
      </c>
      <c r="B34" t="n">
        <v>2018</v>
      </c>
      <c r="C34" t="inlineStr">
        <is>
          <t>Morocco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n">
        <v>0</v>
      </c>
      <c r="Q34" t="n">
        <v>0</v>
      </c>
      <c r="R34" t="n">
        <v>0.6061129049778542</v>
      </c>
      <c r="S34" t="n">
        <v>0.5057439926417991</v>
      </c>
      <c r="T34" t="n">
        <v>0.5751840996723847</v>
      </c>
    </row>
    <row r="35">
      <c r="A35" t="inlineStr">
        <is>
          <t>2019/2020</t>
        </is>
      </c>
      <c r="B35" t="n">
        <v>2019</v>
      </c>
      <c r="C35" t="inlineStr">
        <is>
          <t>Morocco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n">
        <v>0</v>
      </c>
      <c r="Q35" t="n">
        <v>0</v>
      </c>
      <c r="R35" t="n">
        <v>0.6061129049778542</v>
      </c>
      <c r="S35" t="n">
        <v>0.5057439926417991</v>
      </c>
      <c r="T35" t="n">
        <v>0.5751840996723847</v>
      </c>
    </row>
    <row r="36">
      <c r="A36" t="inlineStr">
        <is>
          <t>2020/2021</t>
        </is>
      </c>
      <c r="B36" t="n">
        <v>2020</v>
      </c>
      <c r="C36" t="inlineStr">
        <is>
          <t>Morocco</t>
        </is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n">
        <v>0</v>
      </c>
      <c r="Q36" t="n">
        <v>0</v>
      </c>
      <c r="R36" t="n">
        <v>0.6061129049778542</v>
      </c>
      <c r="S36" t="n">
        <v>0.5057439926417991</v>
      </c>
      <c r="T36" t="n">
        <v>0.5751840996723847</v>
      </c>
    </row>
    <row r="37">
      <c r="A37" t="inlineStr">
        <is>
          <t>2021/2022</t>
        </is>
      </c>
      <c r="B37" t="n">
        <v>2021</v>
      </c>
      <c r="C37" t="inlineStr">
        <is>
          <t>Morocco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n">
        <v>0</v>
      </c>
      <c r="Q37" t="n">
        <v>0</v>
      </c>
      <c r="R37" t="n">
        <v>0.6061129049778542</v>
      </c>
      <c r="S37" t="n">
        <v>0.5057439926417991</v>
      </c>
      <c r="T37" t="n">
        <v>0.5751840996723847</v>
      </c>
    </row>
    <row r="38">
      <c r="A38" t="inlineStr">
        <is>
          <t>2022/2023</t>
        </is>
      </c>
      <c r="B38" t="n">
        <v>2022</v>
      </c>
      <c r="C38" t="inlineStr">
        <is>
          <t>Morocco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n">
        <v>0</v>
      </c>
      <c r="Q38" t="n">
        <v>0</v>
      </c>
      <c r="R38" t="n">
        <v>0.6061129049778542</v>
      </c>
      <c r="S38" t="n">
        <v>0.5057439926417991</v>
      </c>
      <c r="T38" t="n">
        <v>0.5751840996723847</v>
      </c>
    </row>
    <row r="39">
      <c r="A39" t="inlineStr">
        <is>
          <t>2023/2024</t>
        </is>
      </c>
      <c r="B39" t="n">
        <v>2023</v>
      </c>
      <c r="C39" t="inlineStr">
        <is>
          <t>Morocco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n">
        <v>0</v>
      </c>
      <c r="Q39" t="n">
        <v>0</v>
      </c>
      <c r="R39" t="n">
        <v>0.6061129049778542</v>
      </c>
      <c r="S39" t="n">
        <v>0.5057439926417991</v>
      </c>
      <c r="T39" t="n">
        <v>0.5751840996723847</v>
      </c>
    </row>
    <row r="40">
      <c r="A40" t="inlineStr">
        <is>
          <t>2024/2025</t>
        </is>
      </c>
      <c r="B40" t="n">
        <v>2024</v>
      </c>
      <c r="C40" t="inlineStr">
        <is>
          <t>Morocco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n">
        <v>0</v>
      </c>
      <c r="Q40" t="n">
        <v>0</v>
      </c>
      <c r="R40" t="n">
        <v>0.6061129049778542</v>
      </c>
      <c r="S40" t="n">
        <v>0.5057439926417991</v>
      </c>
      <c r="T40" t="n">
        <v>0.5751840996723847</v>
      </c>
    </row>
    <row r="41">
      <c r="A41" t="inlineStr">
        <is>
          <t>2018/2019</t>
        </is>
      </c>
      <c r="B41" t="n">
        <v>2018</v>
      </c>
      <c r="C41" t="inlineStr">
        <is>
          <t>Tunisia</t>
        </is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n">
        <v>0</v>
      </c>
      <c r="Q41" t="n">
        <v>0</v>
      </c>
      <c r="R41" t="n">
        <v>0.6061129049778542</v>
      </c>
      <c r="S41" t="n">
        <v>0.5057439926417991</v>
      </c>
      <c r="T41" t="n">
        <v>0.5751840996723847</v>
      </c>
    </row>
    <row r="42">
      <c r="A42" t="inlineStr">
        <is>
          <t>2019/2020</t>
        </is>
      </c>
      <c r="B42" t="n">
        <v>2019</v>
      </c>
      <c r="C42" t="inlineStr">
        <is>
          <t>Tunisia</t>
        </is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n">
        <v>0</v>
      </c>
      <c r="Q42" t="n">
        <v>0</v>
      </c>
      <c r="R42" t="n">
        <v>0.6061129049778542</v>
      </c>
      <c r="S42" t="n">
        <v>0.5057439926417991</v>
      </c>
      <c r="T42" t="n">
        <v>0.5751840996723847</v>
      </c>
    </row>
    <row r="43">
      <c r="A43" t="inlineStr">
        <is>
          <t>2020/2021</t>
        </is>
      </c>
      <c r="B43" t="n">
        <v>2020</v>
      </c>
      <c r="C43" t="inlineStr">
        <is>
          <t>Tunisia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n">
        <v>0</v>
      </c>
      <c r="Q43" t="n">
        <v>0</v>
      </c>
      <c r="R43" t="n">
        <v>0.6061129049778542</v>
      </c>
      <c r="S43" t="n">
        <v>0.5057439926417991</v>
      </c>
      <c r="T43" t="n">
        <v>0.5751840996723847</v>
      </c>
    </row>
    <row r="44">
      <c r="A44" t="inlineStr">
        <is>
          <t>2021/2022</t>
        </is>
      </c>
      <c r="B44" t="n">
        <v>2021</v>
      </c>
      <c r="C44" t="inlineStr">
        <is>
          <t>Tunisia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n">
        <v>0</v>
      </c>
      <c r="Q44" t="n">
        <v>0</v>
      </c>
      <c r="R44" t="n">
        <v>0.6061129049778542</v>
      </c>
      <c r="S44" t="n">
        <v>0.5057439926417991</v>
      </c>
      <c r="T44" t="n">
        <v>0.5751840996723847</v>
      </c>
    </row>
    <row r="45">
      <c r="A45" t="inlineStr">
        <is>
          <t>2022/2023</t>
        </is>
      </c>
      <c r="B45" t="n">
        <v>2022</v>
      </c>
      <c r="C45" t="inlineStr">
        <is>
          <t>Tunisia</t>
        </is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n">
        <v>0</v>
      </c>
      <c r="Q45" t="n">
        <v>0</v>
      </c>
      <c r="R45" t="n">
        <v>0.6061129049778542</v>
      </c>
      <c r="S45" t="n">
        <v>0.5057439926417991</v>
      </c>
      <c r="T45" t="n">
        <v>0.5751840996723847</v>
      </c>
    </row>
    <row r="46">
      <c r="A46" t="inlineStr">
        <is>
          <t>2023/2024</t>
        </is>
      </c>
      <c r="B46" t="n">
        <v>2023</v>
      </c>
      <c r="C46" t="inlineStr">
        <is>
          <t>Tunisia</t>
        </is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n">
        <v>0</v>
      </c>
      <c r="Q46" t="n">
        <v>0</v>
      </c>
      <c r="R46" t="n">
        <v>0.6061129049778541</v>
      </c>
      <c r="S46" t="n">
        <v>0.5057439926417991</v>
      </c>
      <c r="T46" t="n">
        <v>0.5751840996723846</v>
      </c>
    </row>
    <row r="47">
      <c r="A47" t="inlineStr">
        <is>
          <t>2024/2025</t>
        </is>
      </c>
      <c r="B47" t="n">
        <v>2024</v>
      </c>
      <c r="C47" t="inlineStr">
        <is>
          <t>Tunisia</t>
        </is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n">
        <v>0</v>
      </c>
      <c r="Q47" t="n">
        <v>0</v>
      </c>
      <c r="R47" t="n">
        <v>0.6061129049778541</v>
      </c>
      <c r="S47" t="n">
        <v>0.5057439926417991</v>
      </c>
      <c r="T47" t="n">
        <v>0.5751840996723846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Ines Valente Meira</dc:creator>
  <dcterms:created xsi:type="dcterms:W3CDTF">2015-06-05T18:17:20Z</dcterms:created>
  <dcterms:modified xsi:type="dcterms:W3CDTF">2025-11-27T12:01:15Z</dcterms:modified>
  <cp:lastModifiedBy>Ines Valente Meira</cp:lastModifiedBy>
</cp:coreProperties>
</file>